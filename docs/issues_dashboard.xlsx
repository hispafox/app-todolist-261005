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ssues" sheetId="2" state="visible" r:id="rId2"/>
  </sheets>
  <definedNames>
    <definedName name="_xlnm.Print_Area" localSheetId="0">'Dashboard'!$A$1:$U$48</definedName>
    <definedName name="_xlnm.Print_Titles" localSheetId="1">'Issues'!$1:$1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%&quot; del total&quot;"/>
    <numFmt numFmtId="167" formatCode="0&quot; issues cerrados&quot;"/>
  </numFmts>
  <fonts count="1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563C1"/>
      <sz val="10"/>
      <u val="single"/>
    </font>
    <font>
      <name val="Arial"/>
      <color rgb="00262626"/>
      <sz val="10"/>
    </font>
    <font>
      <name val="Arial"/>
      <b val="1"/>
      <color rgb="00FFFFFF"/>
      <sz val="10"/>
    </font>
    <font>
      <name val="Arial"/>
      <b val="1"/>
      <color rgb="00FFFFFF"/>
      <sz val="20"/>
    </font>
    <font>
      <name val="Arial"/>
      <i val="1"/>
      <color rgb="00D9E1F2"/>
      <sz val="10"/>
    </font>
    <font>
      <name val="Arial"/>
      <b val="1"/>
      <color rgb="007F7F7F"/>
      <sz val="9"/>
    </font>
    <font>
      <name val="Arial"/>
      <b val="1"/>
      <color rgb="002F5597"/>
      <sz val="28"/>
    </font>
    <font>
      <name val="Arial"/>
      <i val="1"/>
      <color rgb="007F7F7F"/>
      <sz val="9"/>
    </font>
    <font>
      <name val="Arial"/>
      <b val="1"/>
      <color rgb="002E75B6"/>
      <sz val="28"/>
    </font>
    <font>
      <name val="Arial"/>
      <b val="1"/>
      <color rgb="00C0392B"/>
      <sz val="28"/>
    </font>
    <font>
      <name val="Arial"/>
      <b val="1"/>
      <color rgb="0027AE60"/>
      <sz val="28"/>
    </font>
    <font>
      <name val="Arial"/>
      <b val="1"/>
      <color rgb="001F3864"/>
      <sz val="12"/>
    </font>
    <font>
      <name val="Arial"/>
      <b val="1"/>
      <color rgb="0026262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6FB"/>
      </patternFill>
    </fill>
    <fill>
      <patternFill patternType="solid">
        <fgColor rgb="002F5597"/>
      </patternFill>
    </fill>
    <fill>
      <patternFill patternType="solid">
        <fgColor rgb="002E75B6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vertical="center"/>
    </xf>
    <xf numFmtId="0" fontId="6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9" fontId="12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7" fontId="9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4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rial"/>
        <b val="1"/>
        <color rgb="00FFFFFF"/>
      </font>
      <fill>
        <patternFill patternType="solid">
          <fgColor rgb="00C0392B"/>
          <bgColor rgb="00C0392B"/>
        </patternFill>
      </fill>
    </dxf>
    <dxf>
      <font>
        <name val="Arial"/>
        <b val="1"/>
        <color rgb="00FFFFFF"/>
      </font>
      <fill>
        <patternFill patternType="solid">
          <fgColor rgb="00F39C12"/>
          <bgColor rgb="00F39C12"/>
        </patternFill>
      </fill>
    </dxf>
    <dxf>
      <font>
        <name val="Arial"/>
        <b val="1"/>
        <color rgb="00FFFFFF"/>
      </font>
      <fill>
        <patternFill patternType="solid">
          <fgColor rgb="0027AE60"/>
          <bgColor rgb="0027AE60"/>
        </patternFill>
      </fill>
    </dxf>
    <dxf>
      <font>
        <name val="Arial"/>
        <b val="1"/>
        <color rgb="002F5597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'Dashboard'!Q12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solidFill>
                  <a:srgbClr val="F39C12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27AE60"/>
                </a:solidFill>
                <a:prstDash val="solid"/>
              </a:ln>
            </spPr>
          </dPt>
          <dLbls>
            <numFmt formatCode="0;-0;;" sourceLinked="0"/>
            <showLegendKey val="0"/>
            <showVal val="1"/>
            <showCatName val="0"/>
            <showSerName val="0"/>
            <showPercent val="0"/>
          </dLbls>
          <cat>
            <numRef>
              <f>'Dashboard'!$P$13:$P$15</f>
            </numRef>
          </cat>
          <val>
            <numRef>
              <f>'Dashboard'!$Q$13:$Q$15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'Dashboard'!T19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solidFill>
                <a:srgbClr val="2F5597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'Dashboard'!$P$20:$P$24</f>
            </numRef>
          </cat>
          <val>
            <numRef>
              <f>'Dashboard'!$T$20:$T$24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'Dashboard'!Q28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'Dashboard'!$P$29:$P$37</f>
            </numRef>
          </cat>
          <val>
            <numRef>
              <f>'Dashboard'!$Q$29:$Q$37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'Dashboard'!Q19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'Dashboard'!$P$20:$P$24</f>
            </numRef>
          </cat>
          <val>
            <numRef>
              <f>'Dashboard'!$Q$20:$Q$24</f>
            </numRef>
          </val>
        </ser>
        <ser>
          <idx val="1"/>
          <order val="1"/>
          <tx>
            <strRef>
              <f>'Dashboard'!R19</f>
            </strRef>
          </tx>
          <spPr>
            <a:solidFill xmlns:a="http://schemas.openxmlformats.org/drawingml/2006/main">
              <a:srgbClr val="F39C12"/>
            </a:solidFill>
            <a:ln xmlns:a="http://schemas.openxmlformats.org/drawingml/2006/main">
              <a:solidFill>
                <a:srgbClr val="F39C12"/>
              </a:solidFill>
              <a:prstDash val="solid"/>
            </a:ln>
          </spPr>
          <cat>
            <numRef>
              <f>'Dashboard'!$P$20:$P$24</f>
            </numRef>
          </cat>
          <val>
            <numRef>
              <f>'Dashboard'!$R$20:$R$24</f>
            </numRef>
          </val>
        </ser>
        <ser>
          <idx val="2"/>
          <order val="2"/>
          <tx>
            <strRef>
              <f>'Dashboard'!S19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'Dashboard'!$P$20:$P$24</f>
            </numRef>
          </cat>
          <val>
            <numRef>
              <f>'Dashboard'!$S$20:$S$24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7E6E6"/>
              </a:solidFill>
              <a:prstDash val="solid"/>
            </a:ln>
          </spPr>
        </majorGridlines>
        <majorTickMark val="none"/>
        <minorTickMark val="none"/>
        <crossAx val="10"/>
        <majorUnit val="1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752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752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29</row>
      <rowOff>0</rowOff>
    </from>
    <ext cx="4752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29</row>
      <rowOff>0</rowOff>
    </from>
    <ext cx="4752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Issues" displayName="TablaIssues" ref="A1:J13" headerRowCount="1">
  <autoFilter ref="A1:J13"/>
  <tableColumns count="10">
    <tableColumn id="1" name="Nº"/>
    <tableColumn id="2" name="Título"/>
    <tableColumn id="3" name="Estado"/>
    <tableColumn id="4" name="Prioridad"/>
    <tableColumn id="5" name="Área"/>
    <tableColumn id="6" name="Feature"/>
    <tableColumn id="7" name="Etiquetas"/>
    <tableColumn id="8" name="Creado"/>
    <tableColumn id="9" name="Actualizado"/>
    <tableColumn id="10" name="Enlac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hispafox/app-todolist-261005/issues/12" TargetMode="External" Id="rId1"/><Relationship Type="http://schemas.openxmlformats.org/officeDocument/2006/relationships/hyperlink" Target="https://github.com/hispafox/app-todolist-261005/issues/11" TargetMode="External" Id="rId2"/><Relationship Type="http://schemas.openxmlformats.org/officeDocument/2006/relationships/hyperlink" Target="https://github.com/hispafox/app-todolist-261005/issues/10" TargetMode="External" Id="rId3"/><Relationship Type="http://schemas.openxmlformats.org/officeDocument/2006/relationships/hyperlink" Target="https://github.com/hispafox/app-todolist-261005/issues/9" TargetMode="External" Id="rId4"/><Relationship Type="http://schemas.openxmlformats.org/officeDocument/2006/relationships/hyperlink" Target="https://github.com/hispafox/app-todolist-261005/issues/8" TargetMode="External" Id="rId5"/><Relationship Type="http://schemas.openxmlformats.org/officeDocument/2006/relationships/hyperlink" Target="https://github.com/hispafox/app-todolist-261005/issues/7" TargetMode="External" Id="rId6"/><Relationship Type="http://schemas.openxmlformats.org/officeDocument/2006/relationships/hyperlink" Target="https://github.com/hispafox/app-todolist-261005/issues/6" TargetMode="External" Id="rId7"/><Relationship Type="http://schemas.openxmlformats.org/officeDocument/2006/relationships/hyperlink" Target="https://github.com/hispafox/app-todolist-261005/issues/5" TargetMode="External" Id="rId8"/><Relationship Type="http://schemas.openxmlformats.org/officeDocument/2006/relationships/hyperlink" Target="https://github.com/hispafox/app-todolist-261005/issues/4" TargetMode="External" Id="rId9"/><Relationship Type="http://schemas.openxmlformats.org/officeDocument/2006/relationships/hyperlink" Target="https://github.com/hispafox/app-todolist-261005/issues/3" TargetMode="External" Id="rId10"/><Relationship Type="http://schemas.openxmlformats.org/officeDocument/2006/relationships/hyperlink" Target="https://github.com/hispafox/app-todolist-261005/issues/2" TargetMode="External" Id="rId11"/><Relationship Type="http://schemas.openxmlformats.org/officeDocument/2006/relationships/hyperlink" Target="https://github.com/hispafox/app-todolist-261005/issues/1" TargetMode="External" Id="rId12"/><Relationship Type="http://schemas.openxmlformats.org/officeDocument/2006/relationships/table" Target="/xl/tables/table1.xml" Id="rId13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4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3" customWidth="1" min="14" max="14"/>
    <col width="2" customWidth="1" min="15" max="15"/>
    <col width="22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6" customHeight="1">
      <c r="A2" s="1" t="n"/>
      <c r="B2" s="2" t="inlineStr">
        <is>
          <t>TODO APP · DASHBOARD DE ISSUES</t>
        </is>
      </c>
      <c r="N2" s="1" t="n"/>
      <c r="O2" s="1" t="n"/>
      <c r="P2" s="1" t="n"/>
      <c r="Q2" s="1" t="n"/>
      <c r="R2" s="1" t="n"/>
      <c r="S2" s="1" t="n"/>
      <c r="T2" s="1" t="n"/>
      <c r="U2" s="1" t="n"/>
    </row>
    <row r="3" ht="20" customHeight="1">
      <c r="A3" s="1" t="n"/>
      <c r="B3" s="3" t="inlineStr">
        <is>
          <t>Repositorio hispafox/app-todolist-261005  ·  Datos a 05/10/2026  ·  Fuente: GitHub Issues</t>
        </is>
      </c>
      <c r="N3" s="1" t="n"/>
      <c r="O3" s="1" t="n"/>
      <c r="P3" s="1" t="n"/>
      <c r="Q3" s="1" t="n"/>
      <c r="R3" s="1" t="n"/>
      <c r="S3" s="1" t="n"/>
      <c r="T3" s="1" t="n"/>
      <c r="U3" s="1" t="n"/>
    </row>
    <row r="4" ht="14" customHeight="1"/>
    <row r="5" ht="5" customHeight="1">
      <c r="B5" s="4" t="n"/>
      <c r="C5" s="4" t="n"/>
      <c r="E5" s="5" t="n"/>
      <c r="F5" s="5" t="n"/>
      <c r="H5" s="6" t="n"/>
      <c r="I5" s="6" t="n"/>
      <c r="K5" s="7" t="n"/>
      <c r="L5" s="7" t="n"/>
    </row>
    <row r="6" ht="18" customHeight="1">
      <c r="B6" s="8" t="inlineStr">
        <is>
          <t>TOTAL ISSUES</t>
        </is>
      </c>
      <c r="E6" s="8" t="inlineStr">
        <is>
          <t>ABIERTOS</t>
        </is>
      </c>
      <c r="H6" s="8" t="inlineStr">
        <is>
          <t>ALTA PRIORIDAD</t>
        </is>
      </c>
      <c r="K6" s="8" t="inlineStr">
        <is>
          <t>% COMPLETADO</t>
        </is>
      </c>
    </row>
    <row r="7" ht="22" customHeight="1">
      <c r="B7" s="9">
        <f>COUNTA(Issues!$A$2:$A$500)</f>
        <v/>
      </c>
      <c r="E7" s="10">
        <f>COUNTIF(Issues!$C$2:$C$500,"Abierto")</f>
        <v/>
      </c>
      <c r="H7" s="11">
        <f>COUNTIF(Issues!$D$2:$D$500,"Alta")</f>
        <v/>
      </c>
      <c r="K7" s="12">
        <f>IFERROR(COUNTIF(Issues!$C$2:$C$500,"Cerrado")/COUNTA(Issues!$A$2:$A$500),0)</f>
        <v/>
      </c>
    </row>
    <row r="8" ht="22" customHeight="1"/>
    <row r="9" ht="18" customHeight="1">
      <c r="B9" s="13">
        <f>"issues registrados"</f>
        <v/>
      </c>
      <c r="E9" s="14">
        <f>IFERROR(COUNTIF(Issues!$C$2:$C$500,"Abierto")/COUNTA(Issues!$A$2:$A$500),0)</f>
        <v/>
      </c>
      <c r="H9" s="14">
        <f>IFERROR(COUNTIF(Issues!$D$2:$D$500,"Alta")/COUNTA(Issues!$A$2:$A$500),0)</f>
        <v/>
      </c>
      <c r="K9" s="15">
        <f>COUNTIF(Issues!$C$2:$C$500,"Cerrado")</f>
        <v/>
      </c>
    </row>
    <row r="10" ht="10" customHeight="1"/>
    <row r="11">
      <c r="B11" s="16" t="inlineStr">
        <is>
          <t>Distribución por prioridad</t>
        </is>
      </c>
      <c r="H11" s="16" t="inlineStr">
        <is>
          <t>Issues por área</t>
        </is>
      </c>
      <c r="P11" s="16" t="inlineStr">
        <is>
          <t>Resumen por prioridad</t>
        </is>
      </c>
    </row>
    <row r="12">
      <c r="P12" s="17" t="inlineStr">
        <is>
          <t>Prioridad</t>
        </is>
      </c>
      <c r="Q12" s="17" t="inlineStr">
        <is>
          <t>Issues</t>
        </is>
      </c>
      <c r="R12" s="17" t="inlineStr">
        <is>
          <t>%</t>
        </is>
      </c>
    </row>
    <row r="13">
      <c r="P13" s="18" t="inlineStr">
        <is>
          <t>Alta</t>
        </is>
      </c>
      <c r="Q13" s="19">
        <f>COUNTIF(Issues!$D$2:$D$500,P13)</f>
        <v/>
      </c>
      <c r="R13" s="20">
        <f>IFERROR(Q13/SUM($Q$13:$Q$15),0)</f>
        <v/>
      </c>
    </row>
    <row r="14">
      <c r="P14" s="18" t="inlineStr">
        <is>
          <t>Media</t>
        </is>
      </c>
      <c r="Q14" s="19">
        <f>COUNTIF(Issues!$D$2:$D$500,P14)</f>
        <v/>
      </c>
      <c r="R14" s="20">
        <f>IFERROR(Q14/SUM($Q$13:$Q$15),0)</f>
        <v/>
      </c>
    </row>
    <row r="15">
      <c r="P15" s="18" t="inlineStr">
        <is>
          <t>Baja</t>
        </is>
      </c>
      <c r="Q15" s="19">
        <f>COUNTIF(Issues!$D$2:$D$500,P15)</f>
        <v/>
      </c>
      <c r="R15" s="20">
        <f>IFERROR(Q15/SUM($Q$13:$Q$15),0)</f>
        <v/>
      </c>
    </row>
    <row r="18">
      <c r="P18" s="16" t="inlineStr">
        <is>
          <t>Resumen por área y prioridad</t>
        </is>
      </c>
    </row>
    <row r="19">
      <c r="P19" s="17" t="inlineStr">
        <is>
          <t>Área</t>
        </is>
      </c>
      <c r="Q19" s="17" t="inlineStr">
        <is>
          <t>Alta</t>
        </is>
      </c>
      <c r="R19" s="17" t="inlineStr">
        <is>
          <t>Media</t>
        </is>
      </c>
      <c r="S19" s="17" t="inlineStr">
        <is>
          <t>Baja</t>
        </is>
      </c>
      <c r="T19" s="17" t="inlineStr">
        <is>
          <t>Total</t>
        </is>
      </c>
    </row>
    <row r="20">
      <c r="P20" s="18" t="inlineStr">
        <is>
          <t>Backend</t>
        </is>
      </c>
      <c r="Q20" s="19">
        <f>COUNTIFS(Issues!$E$2:$E$500,$P20,Issues!$D$2:$D$500,Q$19)</f>
        <v/>
      </c>
      <c r="R20" s="19">
        <f>COUNTIFS(Issues!$E$2:$E$500,$P20,Issues!$D$2:$D$500,R$19)</f>
        <v/>
      </c>
      <c r="S20" s="19">
        <f>COUNTIFS(Issues!$E$2:$E$500,$P20,Issues!$D$2:$D$500,S$19)</f>
        <v/>
      </c>
      <c r="T20" s="18">
        <f>SUM(Q20:S20)</f>
        <v/>
      </c>
    </row>
    <row r="21">
      <c r="P21" s="18" t="inlineStr">
        <is>
          <t>Frontend</t>
        </is>
      </c>
      <c r="Q21" s="19">
        <f>COUNTIFS(Issues!$E$2:$E$500,$P21,Issues!$D$2:$D$500,Q$19)</f>
        <v/>
      </c>
      <c r="R21" s="19">
        <f>COUNTIFS(Issues!$E$2:$E$500,$P21,Issues!$D$2:$D$500,R$19)</f>
        <v/>
      </c>
      <c r="S21" s="19">
        <f>COUNTIFS(Issues!$E$2:$E$500,$P21,Issues!$D$2:$D$500,S$19)</f>
        <v/>
      </c>
      <c r="T21" s="18">
        <f>SUM(Q21:S21)</f>
        <v/>
      </c>
    </row>
    <row r="22">
      <c r="P22" s="18" t="inlineStr">
        <is>
          <t>Infraestructura</t>
        </is>
      </c>
      <c r="Q22" s="19">
        <f>COUNTIFS(Issues!$E$2:$E$500,$P22,Issues!$D$2:$D$500,Q$19)</f>
        <v/>
      </c>
      <c r="R22" s="19">
        <f>COUNTIFS(Issues!$E$2:$E$500,$P22,Issues!$D$2:$D$500,R$19)</f>
        <v/>
      </c>
      <c r="S22" s="19">
        <f>COUNTIFS(Issues!$E$2:$E$500,$P22,Issues!$D$2:$D$500,S$19)</f>
        <v/>
      </c>
      <c r="T22" s="18">
        <f>SUM(Q22:S22)</f>
        <v/>
      </c>
    </row>
    <row r="23">
      <c r="P23" s="18" t="inlineStr">
        <is>
          <t>Documentación</t>
        </is>
      </c>
      <c r="Q23" s="19">
        <f>COUNTIFS(Issues!$E$2:$E$500,$P23,Issues!$D$2:$D$500,Q$19)</f>
        <v/>
      </c>
      <c r="R23" s="19">
        <f>COUNTIFS(Issues!$E$2:$E$500,$P23,Issues!$D$2:$D$500,R$19)</f>
        <v/>
      </c>
      <c r="S23" s="19">
        <f>COUNTIFS(Issues!$E$2:$E$500,$P23,Issues!$D$2:$D$500,S$19)</f>
        <v/>
      </c>
      <c r="T23" s="18">
        <f>SUM(Q23:S23)</f>
        <v/>
      </c>
    </row>
    <row r="24">
      <c r="P24" s="18" t="inlineStr">
        <is>
          <t>Testing</t>
        </is>
      </c>
      <c r="Q24" s="19">
        <f>COUNTIFS(Issues!$E$2:$E$500,$P24,Issues!$D$2:$D$500,Q$19)</f>
        <v/>
      </c>
      <c r="R24" s="19">
        <f>COUNTIFS(Issues!$E$2:$E$500,$P24,Issues!$D$2:$D$500,R$19)</f>
        <v/>
      </c>
      <c r="S24" s="19">
        <f>COUNTIFS(Issues!$E$2:$E$500,$P24,Issues!$D$2:$D$500,S$19)</f>
        <v/>
      </c>
      <c r="T24" s="18">
        <f>SUM(Q24:S24)</f>
        <v/>
      </c>
    </row>
    <row r="27">
      <c r="P27" s="16" t="inlineStr">
        <is>
          <t>Resumen por feature</t>
        </is>
      </c>
    </row>
    <row r="28">
      <c r="P28" s="17" t="inlineStr">
        <is>
          <t>Feature</t>
        </is>
      </c>
      <c r="Q28" s="17" t="inlineStr">
        <is>
          <t>Issues</t>
        </is>
      </c>
    </row>
    <row r="29">
      <c r="B29" s="16" t="inlineStr">
        <is>
          <t>Carga por área y prioridad</t>
        </is>
      </c>
      <c r="H29" s="16" t="inlineStr">
        <is>
          <t>Issues por feature</t>
        </is>
      </c>
      <c r="P29" s="18" t="inlineStr">
        <is>
          <t>Categorías de tareas</t>
        </is>
      </c>
      <c r="Q29" s="19">
        <f>COUNTIF(Issues!$F$2:$F$500,P29)</f>
        <v/>
      </c>
    </row>
    <row r="30">
      <c r="P30" s="18" t="inlineStr">
        <is>
          <t>API REST</t>
        </is>
      </c>
      <c r="Q30" s="19">
        <f>COUNTIF(Issues!$F$2:$F$500,P30)</f>
        <v/>
      </c>
    </row>
    <row r="31">
      <c r="P31" s="18" t="inlineStr">
        <is>
          <t>Base de datos</t>
        </is>
      </c>
      <c r="Q31" s="19">
        <f>COUNTIF(Issues!$F$2:$F$500,P31)</f>
        <v/>
      </c>
    </row>
    <row r="32">
      <c r="P32" s="18" t="inlineStr">
        <is>
          <t>Entorno</t>
        </is>
      </c>
      <c r="Q32" s="19">
        <f>COUNTIF(Issues!$F$2:$F$500,P32)</f>
        <v/>
      </c>
    </row>
    <row r="33">
      <c r="P33" s="18" t="inlineStr">
        <is>
          <t>Documentación</t>
        </is>
      </c>
      <c r="Q33" s="19">
        <f>COUNTIF(Issues!$F$2:$F$500,P33)</f>
        <v/>
      </c>
    </row>
    <row r="34">
      <c r="P34" s="18" t="inlineStr">
        <is>
          <t>CRUD de tareas</t>
        </is>
      </c>
      <c r="Q34" s="19">
        <f>COUNTIF(Issues!$F$2:$F$500,P34)</f>
        <v/>
      </c>
    </row>
    <row r="35">
      <c r="P35" s="18" t="inlineStr">
        <is>
          <t>Testing</t>
        </is>
      </c>
      <c r="Q35" s="19">
        <f>COUNTIF(Issues!$F$2:$F$500,P35)</f>
        <v/>
      </c>
    </row>
    <row r="36">
      <c r="P36" s="18" t="inlineStr">
        <is>
          <t>Integración</t>
        </is>
      </c>
      <c r="Q36" s="19">
        <f>COUNTIF(Issues!$F$2:$F$500,P36)</f>
        <v/>
      </c>
    </row>
    <row r="37">
      <c r="P37" s="18" t="inlineStr">
        <is>
          <t>Calidad</t>
        </is>
      </c>
      <c r="Q37" s="19">
        <f>COUNTIF(Issues!$F$2:$F$500,P37)</f>
        <v/>
      </c>
    </row>
    <row r="47">
      <c r="B47" s="21" t="inlineStr">
        <is>
          <t>Los KPIs y gráficos se calculan con fórmulas a partir de la hoja «Issues»: si se actualiza o amplía la lista, el dashboard se recalcula automáticamente.</t>
        </is>
      </c>
    </row>
  </sheetData>
  <mergeCells count="14">
    <mergeCell ref="B2:M2"/>
    <mergeCell ref="B6:C6"/>
    <mergeCell ref="E6:F6"/>
    <mergeCell ref="H6:I6"/>
    <mergeCell ref="K7:L8"/>
    <mergeCell ref="B3:M3"/>
    <mergeCell ref="B7:C8"/>
    <mergeCell ref="E7:F8"/>
    <mergeCell ref="H7:I8"/>
    <mergeCell ref="K6:L6"/>
    <mergeCell ref="K9:L9"/>
    <mergeCell ref="B9:C9"/>
    <mergeCell ref="E9:F9"/>
    <mergeCell ref="H9:I9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1" customWidth="1" min="4" max="4"/>
    <col width="16" customWidth="1" min="5" max="5"/>
    <col width="22" customWidth="1" min="6" max="6"/>
    <col width="46" customWidth="1" min="7" max="7"/>
    <col width="12" customWidth="1" min="8" max="8"/>
    <col width="12" customWidth="1" min="9" max="9"/>
    <col width="15" customWidth="1" min="10" max="10"/>
  </cols>
  <sheetData>
    <row r="1" ht="24" customHeight="1">
      <c r="A1" s="22" t="inlineStr">
        <is>
          <t>Nº</t>
        </is>
      </c>
      <c r="B1" s="22" t="inlineStr">
        <is>
          <t>Título</t>
        </is>
      </c>
      <c r="C1" s="22" t="inlineStr">
        <is>
          <t>Estado</t>
        </is>
      </c>
      <c r="D1" s="22" t="inlineStr">
        <is>
          <t>Prioridad</t>
        </is>
      </c>
      <c r="E1" s="22" t="inlineStr">
        <is>
          <t>Área</t>
        </is>
      </c>
      <c r="F1" s="22" t="inlineStr">
        <is>
          <t>Feature</t>
        </is>
      </c>
      <c r="G1" s="22" t="inlineStr">
        <is>
          <t>Etiquetas</t>
        </is>
      </c>
      <c r="H1" s="22" t="inlineStr">
        <is>
          <t>Creado</t>
        </is>
      </c>
      <c r="I1" s="22" t="inlineStr">
        <is>
          <t>Actualizado</t>
        </is>
      </c>
      <c r="J1" s="22" t="inlineStr">
        <is>
          <t>Enlace</t>
        </is>
      </c>
    </row>
    <row r="2" ht="30" customHeight="1">
      <c r="A2" s="23" t="n">
        <v>12</v>
      </c>
      <c r="B2" s="24" t="inlineStr">
        <is>
          <t>Filtrar y agrupar tareas por categoría</t>
        </is>
      </c>
      <c r="C2" s="23" t="inlineStr">
        <is>
          <t>Abierto</t>
        </is>
      </c>
      <c r="D2" s="23" t="inlineStr">
        <is>
          <t>Media</t>
        </is>
      </c>
      <c r="E2" s="25" t="inlineStr">
        <is>
          <t>Frontend</t>
        </is>
      </c>
      <c r="F2" s="25" t="inlineStr">
        <is>
          <t>Categorías de tareas</t>
        </is>
      </c>
      <c r="G2" s="24" t="inlineStr">
        <is>
          <t>backend, frontend, priority:medium, feature:task-categories</t>
        </is>
      </c>
      <c r="H2" s="26" t="n">
        <v>46300.48554398148</v>
      </c>
      <c r="I2" s="26" t="n">
        <v>46300.48554398148</v>
      </c>
      <c r="J2" s="27" t="inlineStr">
        <is>
          <t>Ver en GitHub</t>
        </is>
      </c>
    </row>
    <row r="3" ht="30" customHeight="1">
      <c r="A3" s="23" t="n">
        <v>11</v>
      </c>
      <c r="B3" s="24" t="inlineStr">
        <is>
          <t>Diseñar la UI para crear y visualizar categorías</t>
        </is>
      </c>
      <c r="C3" s="23" t="inlineStr">
        <is>
          <t>Abierto</t>
        </is>
      </c>
      <c r="D3" s="23" t="inlineStr">
        <is>
          <t>Alta</t>
        </is>
      </c>
      <c r="E3" s="25" t="inlineStr">
        <is>
          <t>Frontend</t>
        </is>
      </c>
      <c r="F3" s="25" t="inlineStr">
        <is>
          <t>Categorías de tareas</t>
        </is>
      </c>
      <c r="G3" s="24" t="inlineStr">
        <is>
          <t>frontend, ux, priority:high, feature:task-categories</t>
        </is>
      </c>
      <c r="H3" s="26" t="n">
        <v>46300.48550925926</v>
      </c>
      <c r="I3" s="26" t="n">
        <v>46300.48550925926</v>
      </c>
      <c r="J3" s="27" t="inlineStr">
        <is>
          <t>Ver en GitHub</t>
        </is>
      </c>
    </row>
    <row r="4" ht="30" customHeight="1">
      <c r="A4" s="23" t="n">
        <v>10</v>
      </c>
      <c r="B4" s="24" t="inlineStr">
        <is>
          <t>Persistir categorías en SQLite y API</t>
        </is>
      </c>
      <c r="C4" s="23" t="inlineStr">
        <is>
          <t>Abierto</t>
        </is>
      </c>
      <c r="D4" s="23" t="inlineStr">
        <is>
          <t>Alta</t>
        </is>
      </c>
      <c r="E4" s="25" t="inlineStr">
        <is>
          <t>Backend</t>
        </is>
      </c>
      <c r="F4" s="25" t="inlineStr">
        <is>
          <t>Categorías de tareas</t>
        </is>
      </c>
      <c r="G4" s="24" t="inlineStr">
        <is>
          <t>backend, database, priority:high, feature:task-categories</t>
        </is>
      </c>
      <c r="H4" s="26" t="n">
        <v>46300.48548611111</v>
      </c>
      <c r="I4" s="26" t="n">
        <v>46300.48548611111</v>
      </c>
      <c r="J4" s="27" t="inlineStr">
        <is>
          <t>Ver en GitHub</t>
        </is>
      </c>
    </row>
    <row r="5" ht="30" customHeight="1">
      <c r="A5" s="23" t="n">
        <v>9</v>
      </c>
      <c r="B5" s="24" t="inlineStr">
        <is>
          <t>Añadir categorías a las tareas</t>
        </is>
      </c>
      <c r="C5" s="23" t="inlineStr">
        <is>
          <t>Abierto</t>
        </is>
      </c>
      <c r="D5" s="23" t="inlineStr">
        <is>
          <t>Alta</t>
        </is>
      </c>
      <c r="E5" s="25" t="inlineStr">
        <is>
          <t>Backend</t>
        </is>
      </c>
      <c r="F5" s="25" t="inlineStr">
        <is>
          <t>Categorías de tareas</t>
        </is>
      </c>
      <c r="G5" s="24" t="inlineStr">
        <is>
          <t>enhancement, backend, frontend, ux, priority:high, feature:task-categories, feature</t>
        </is>
      </c>
      <c r="H5" s="26" t="n">
        <v>46300.48546296296</v>
      </c>
      <c r="I5" s="26" t="n">
        <v>46300.48546296296</v>
      </c>
      <c r="J5" s="27" t="inlineStr">
        <is>
          <t>Ver en GitHub</t>
        </is>
      </c>
    </row>
    <row r="6" ht="30" customHeight="1">
      <c r="A6" s="23" t="n">
        <v>8</v>
      </c>
      <c r="B6" s="24" t="inlineStr">
        <is>
          <t>Preparar configuración de entorno y despliegue local</t>
        </is>
      </c>
      <c r="C6" s="23" t="inlineStr">
        <is>
          <t>Abierto</t>
        </is>
      </c>
      <c r="D6" s="23" t="inlineStr">
        <is>
          <t>Media</t>
        </is>
      </c>
      <c r="E6" s="25" t="inlineStr">
        <is>
          <t>Infraestructura</t>
        </is>
      </c>
      <c r="F6" s="25" t="inlineStr">
        <is>
          <t>Entorno</t>
        </is>
      </c>
      <c r="G6" s="24" t="inlineStr">
        <is>
          <t>documentation, infra, priority:medium</t>
        </is>
      </c>
      <c r="H6" s="26" t="n">
        <v>46300.48381944445</v>
      </c>
      <c r="I6" s="26" t="n">
        <v>46300.48383101852</v>
      </c>
      <c r="J6" s="27" t="inlineStr">
        <is>
          <t>Ver en GitHub</t>
        </is>
      </c>
    </row>
    <row r="7" ht="30" customHeight="1">
      <c r="A7" s="23" t="n">
        <v>7</v>
      </c>
      <c r="B7" s="24" t="inlineStr">
        <is>
          <t>Documentar arranque, configuración y despliegue local</t>
        </is>
      </c>
      <c r="C7" s="23" t="inlineStr">
        <is>
          <t>Abierto</t>
        </is>
      </c>
      <c r="D7" s="23" t="inlineStr">
        <is>
          <t>Media</t>
        </is>
      </c>
      <c r="E7" s="25" t="inlineStr">
        <is>
          <t>Documentación</t>
        </is>
      </c>
      <c r="F7" s="25" t="inlineStr">
        <is>
          <t>Documentación</t>
        </is>
      </c>
      <c r="G7" s="24" t="inlineStr">
        <is>
          <t>documentation, infra, priority:medium</t>
        </is>
      </c>
      <c r="H7" s="26" t="n">
        <v>46300.4837962963</v>
      </c>
      <c r="I7" s="26" t="n">
        <v>46300.4837962963</v>
      </c>
      <c r="J7" s="27" t="inlineStr">
        <is>
          <t>Ver en GitHub</t>
        </is>
      </c>
    </row>
    <row r="8" ht="30" customHeight="1">
      <c r="A8" s="23" t="n">
        <v>6</v>
      </c>
      <c r="B8" s="24" t="inlineStr">
        <is>
          <t>Configurar pruebas automatizadas para API y frontend</t>
        </is>
      </c>
      <c r="C8" s="23" t="inlineStr">
        <is>
          <t>Abierto</t>
        </is>
      </c>
      <c r="D8" s="23" t="inlineStr">
        <is>
          <t>Media</t>
        </is>
      </c>
      <c r="E8" s="25" t="inlineStr">
        <is>
          <t>Testing</t>
        </is>
      </c>
      <c r="F8" s="25" t="inlineStr">
        <is>
          <t>Testing</t>
        </is>
      </c>
      <c r="G8" s="24" t="inlineStr">
        <is>
          <t>backend, frontend, testing, priority:medium</t>
        </is>
      </c>
      <c r="H8" s="26" t="n">
        <v>46300.48376157408</v>
      </c>
      <c r="I8" s="26" t="n">
        <v>46300.48376157408</v>
      </c>
      <c r="J8" s="27" t="inlineStr">
        <is>
          <t>Ver en GitHub</t>
        </is>
      </c>
    </row>
    <row r="9" ht="30" customHeight="1">
      <c r="A9" s="23" t="n">
        <v>5</v>
      </c>
      <c r="B9" s="24" t="inlineStr">
        <is>
          <t>Añadir validación, manejo de errores y estados de carga</t>
        </is>
      </c>
      <c r="C9" s="23" t="inlineStr">
        <is>
          <t>Abierto</t>
        </is>
      </c>
      <c r="D9" s="23" t="inlineStr">
        <is>
          <t>Media</t>
        </is>
      </c>
      <c r="E9" s="25" t="inlineStr">
        <is>
          <t>Backend</t>
        </is>
      </c>
      <c r="F9" s="25" t="inlineStr">
        <is>
          <t>Calidad</t>
        </is>
      </c>
      <c r="G9" s="24" t="inlineStr">
        <is>
          <t>backend, frontend, testing, priority:medium</t>
        </is>
      </c>
      <c r="H9" s="26" t="n">
        <v>46300.48373842592</v>
      </c>
      <c r="I9" s="26" t="n">
        <v>46300.48373842592</v>
      </c>
      <c r="J9" s="27" t="inlineStr">
        <is>
          <t>Ver en GitHub</t>
        </is>
      </c>
    </row>
    <row r="10" ht="30" customHeight="1">
      <c r="A10" s="23" t="n">
        <v>4</v>
      </c>
      <c r="B10" s="24" t="inlineStr">
        <is>
          <t>Crear flujo para crear, editar y eliminar tareas</t>
        </is>
      </c>
      <c r="C10" s="23" t="inlineStr">
        <is>
          <t>Abierto</t>
        </is>
      </c>
      <c r="D10" s="23" t="inlineStr">
        <is>
          <t>Alta</t>
        </is>
      </c>
      <c r="E10" s="25" t="inlineStr">
        <is>
          <t>Frontend</t>
        </is>
      </c>
      <c r="F10" s="25" t="inlineStr">
        <is>
          <t>CRUD de tareas</t>
        </is>
      </c>
      <c r="G10" s="24" t="inlineStr">
        <is>
          <t>frontend, ux, priority:high</t>
        </is>
      </c>
      <c r="H10" s="26" t="n">
        <v>46300.48370370371</v>
      </c>
      <c r="I10" s="26" t="n">
        <v>46300.48370370371</v>
      </c>
      <c r="J10" s="27" t="inlineStr">
        <is>
          <t>Ver en GitHub</t>
        </is>
      </c>
    </row>
    <row r="11" ht="30" customHeight="1">
      <c r="A11" s="23" t="n">
        <v>3</v>
      </c>
      <c r="B11" s="24" t="inlineStr">
        <is>
          <t>Integrar frontend con la API y listar tareas</t>
        </is>
      </c>
      <c r="C11" s="23" t="inlineStr">
        <is>
          <t>Abierto</t>
        </is>
      </c>
      <c r="D11" s="23" t="inlineStr">
        <is>
          <t>Alta</t>
        </is>
      </c>
      <c r="E11" s="25" t="inlineStr">
        <is>
          <t>Frontend</t>
        </is>
      </c>
      <c r="F11" s="25" t="inlineStr">
        <is>
          <t>Integración</t>
        </is>
      </c>
      <c r="G11" s="24" t="inlineStr">
        <is>
          <t>backend, frontend, priority:high</t>
        </is>
      </c>
      <c r="H11" s="26" t="n">
        <v>46300.48368055555</v>
      </c>
      <c r="I11" s="26" t="n">
        <v>46300.48368055555</v>
      </c>
      <c r="J11" s="27" t="inlineStr">
        <is>
          <t>Ver en GitHub</t>
        </is>
      </c>
    </row>
    <row r="12" ht="30" customHeight="1">
      <c r="A12" s="23" t="n">
        <v>2</v>
      </c>
      <c r="B12" s="24" t="inlineStr">
        <is>
          <t>Implementar API REST para CRUD de tareas</t>
        </is>
      </c>
      <c r="C12" s="23" t="inlineStr">
        <is>
          <t>Abierto</t>
        </is>
      </c>
      <c r="D12" s="23" t="inlineStr">
        <is>
          <t>Alta</t>
        </is>
      </c>
      <c r="E12" s="25" t="inlineStr">
        <is>
          <t>Backend</t>
        </is>
      </c>
      <c r="F12" s="25" t="inlineStr">
        <is>
          <t>API REST</t>
        </is>
      </c>
      <c r="G12" s="24" t="inlineStr">
        <is>
          <t>backend, priority:high</t>
        </is>
      </c>
      <c r="H12" s="26" t="n">
        <v>46300.48364583333</v>
      </c>
      <c r="I12" s="26" t="n">
        <v>46300.48364583333</v>
      </c>
      <c r="J12" s="27" t="inlineStr">
        <is>
          <t>Ver en GitHub</t>
        </is>
      </c>
    </row>
    <row r="13" ht="30" customHeight="1">
      <c r="A13" s="23" t="n">
        <v>1</v>
      </c>
      <c r="B13" s="24" t="inlineStr">
        <is>
          <t>Configurar modelo de datos y migración inicial</t>
        </is>
      </c>
      <c r="C13" s="23" t="inlineStr">
        <is>
          <t>Abierto</t>
        </is>
      </c>
      <c r="D13" s="23" t="inlineStr">
        <is>
          <t>Alta</t>
        </is>
      </c>
      <c r="E13" s="25" t="inlineStr">
        <is>
          <t>Backend</t>
        </is>
      </c>
      <c r="F13" s="25" t="inlineStr">
        <is>
          <t>Base de datos</t>
        </is>
      </c>
      <c r="G13" s="24" t="inlineStr">
        <is>
          <t>backend, database, priority:high</t>
        </is>
      </c>
      <c r="H13" s="26" t="n">
        <v>46300.48362268518</v>
      </c>
      <c r="I13" s="26" t="n">
        <v>46300.48362268518</v>
      </c>
      <c r="J13" s="27" t="inlineStr">
        <is>
          <t>Ver en GitHub</t>
        </is>
      </c>
    </row>
  </sheetData>
  <conditionalFormatting sqref="D2:D13">
    <cfRule type="expression" priority="1" dxfId="0">
      <formula>$D2="Alta"</formula>
    </cfRule>
    <cfRule type="expression" priority="2" dxfId="1">
      <formula>$D2="Media"</formula>
    </cfRule>
    <cfRule type="expression" priority="3" dxfId="2">
      <formula>$D2="Baja"</formula>
    </cfRule>
  </conditionalFormatting>
  <conditionalFormatting sqref="C2:C13">
    <cfRule type="expression" priority="4" dxfId="3">
      <formula>$C2="Abierto"</formula>
    </cfRule>
    <cfRule type="expression" priority="5" dxfId="4">
      <formula>$C2="Cerrado"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2026-10-05T12:00:14Z</dcterms:created>
  <dcterms:modified xmlns:dcterms="http://purl.org/dc/terms/" xmlns:xsi="http://www.w3.org/2001/XMLSchema-instance" xsi:type="dcterms:W3CDTF">2026-10-05T12:00:14Z</dcterms:modified>
</cp:coreProperties>
</file>