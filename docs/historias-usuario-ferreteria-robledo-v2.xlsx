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Historias de usuario" sheetId="2" state="visible" r:id="rId2"/>
    <sheet xmlns:r="http://schemas.openxmlformats.org/officeDocument/2006/relationships" name="Requisitos" sheetId="3" state="visible" r:id="rId3"/>
    <sheet xmlns:r="http://schemas.openxmlformats.org/officeDocument/2006/relationships" name="Preguntas abiertas" sheetId="4" state="visible" r:id="rId4"/>
    <sheet xmlns:r="http://schemas.openxmlformats.org/officeDocument/2006/relationships" name="Cambios v1 a v2" sheetId="5" state="visible" r:id="rId5"/>
  </sheets>
  <definedNames>
    <definedName name="_xlnm._FilterDatabase" localSheetId="1" hidden="1">'Historias de usuario'!$A$1:$L$46</definedName>
    <definedName name="_xlnm._FilterDatabase" localSheetId="2" hidden="1">'Requisitos'!$A$1:$I$55</definedName>
    <definedName name="_xlnm._FilterDatabase" localSheetId="3" hidden="1">'Preguntas abiertas'!$A$1:$F$27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F3864"/>
      <sz val="16"/>
    </font>
    <font>
      <name val="Arial"/>
      <i val="1"/>
      <sz val="10"/>
    </font>
    <font>
      <name val="Arial"/>
      <b val="1"/>
      <color rgb="001F3864"/>
      <sz val="12"/>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1" pivotButton="0" quotePrefix="0" xfId="0"/>
    <xf numFmtId="0" fontId="6" fillId="0" borderId="1" pivotButton="0" quotePrefix="0" xfId="0"/>
    <xf numFmtId="0" fontId="2" fillId="0" borderId="1" pivotButton="0" quotePrefix="0" xfId="0"/>
    <xf numFmtId="0" fontId="6" fillId="0" borderId="0" pivotButton="0" quotePrefix="0" xfId="0"/>
    <xf numFmtId="0" fontId="2"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Historias por épica</a:t>
            </a:r>
          </a:p>
        </rich>
      </tx>
    </title>
    <plotArea>
      <barChart>
        <barDir val="bar"/>
        <grouping val="clustered"/>
        <ser>
          <idx val="0"/>
          <order val="0"/>
          <tx>
            <strRef>
              <f>'Resumen'!B13</f>
            </strRef>
          </tx>
          <spPr>
            <a:ln xmlns:a="http://schemas.openxmlformats.org/drawingml/2006/main">
              <a:prstDash val="solid"/>
            </a:ln>
          </spPr>
          <cat>
            <numRef>
              <f>'Resumen'!$A$14:$A$21</f>
            </numRef>
          </cat>
          <val>
            <numRef>
              <f>'Resumen'!$B$14:$B$21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Ferretería Robledo, S.L. - Historias de usuario (v2.0)</t>
        </is>
      </c>
    </row>
    <row r="2">
      <c r="A2" s="2" t="inlineStr">
        <is>
          <t>Generado a partir de los 3 TXT de docs/AnalistaRequisitos (08/10/2026). Detalle y trazabilidad en requisitos-ferreteria-robledo-v2.docx. Sustituye a la v1 sin modificarla.</t>
        </is>
      </c>
    </row>
    <row r="4">
      <c r="A4" s="3" t="inlineStr">
        <is>
          <t>Historias por prioridad y fase</t>
        </is>
      </c>
    </row>
    <row r="5">
      <c r="A5" s="4" t="inlineStr">
        <is>
          <t>Prioridad</t>
        </is>
      </c>
      <c r="B5" s="4" t="inlineStr">
        <is>
          <t>F1</t>
        </is>
      </c>
      <c r="C5" s="4" t="inlineStr">
        <is>
          <t>F1*</t>
        </is>
      </c>
      <c r="D5" s="4" t="inlineStr">
        <is>
          <t>F2</t>
        </is>
      </c>
      <c r="E5" s="4" t="inlineStr">
        <is>
          <t>F2*</t>
        </is>
      </c>
      <c r="F5" s="4" t="inlineStr">
        <is>
          <t>Aparcado</t>
        </is>
      </c>
      <c r="G5" s="4" t="inlineStr">
        <is>
          <t>Total</t>
        </is>
      </c>
    </row>
    <row r="6">
      <c r="A6" s="5" t="inlineStr">
        <is>
          <t>Must</t>
        </is>
      </c>
      <c r="B6" s="6">
        <f>COUNTIFS('Historias de usuario'!$G$2:$G$46,$A6,'Historias de usuario'!$H$2:$H$46,SUBSTITUTE(B$5,"*","~*"))</f>
        <v/>
      </c>
      <c r="C6" s="6">
        <f>COUNTIFS('Historias de usuario'!$G$2:$G$46,$A6,'Historias de usuario'!$H$2:$H$46,SUBSTITUTE(C$5,"*","~*"))</f>
        <v/>
      </c>
      <c r="D6" s="6">
        <f>COUNTIFS('Historias de usuario'!$G$2:$G$46,$A6,'Historias de usuario'!$H$2:$H$46,SUBSTITUTE(D$5,"*","~*"))</f>
        <v/>
      </c>
      <c r="E6" s="6">
        <f>COUNTIFS('Historias de usuario'!$G$2:$G$46,$A6,'Historias de usuario'!$H$2:$H$46,SUBSTITUTE(E$5,"*","~*"))</f>
        <v/>
      </c>
      <c r="F6" s="6">
        <f>COUNTIFS('Historias de usuario'!$G$2:$G$46,$A6,'Historias de usuario'!$H$2:$H$46,SUBSTITUTE(F$5,"*","~*"))</f>
        <v/>
      </c>
      <c r="G6" s="6">
        <f>SUM(B6:F6)</f>
        <v/>
      </c>
    </row>
    <row r="7">
      <c r="A7" s="5" t="inlineStr">
        <is>
          <t>Should</t>
        </is>
      </c>
      <c r="B7" s="6">
        <f>COUNTIFS('Historias de usuario'!$G$2:$G$46,$A7,'Historias de usuario'!$H$2:$H$46,SUBSTITUTE(B$5,"*","~*"))</f>
        <v/>
      </c>
      <c r="C7" s="6">
        <f>COUNTIFS('Historias de usuario'!$G$2:$G$46,$A7,'Historias de usuario'!$H$2:$H$46,SUBSTITUTE(C$5,"*","~*"))</f>
        <v/>
      </c>
      <c r="D7" s="6">
        <f>COUNTIFS('Historias de usuario'!$G$2:$G$46,$A7,'Historias de usuario'!$H$2:$H$46,SUBSTITUTE(D$5,"*","~*"))</f>
        <v/>
      </c>
      <c r="E7" s="6">
        <f>COUNTIFS('Historias de usuario'!$G$2:$G$46,$A7,'Historias de usuario'!$H$2:$H$46,SUBSTITUTE(E$5,"*","~*"))</f>
        <v/>
      </c>
      <c r="F7" s="6">
        <f>COUNTIFS('Historias de usuario'!$G$2:$G$46,$A7,'Historias de usuario'!$H$2:$H$46,SUBSTITUTE(F$5,"*","~*"))</f>
        <v/>
      </c>
      <c r="G7" s="6">
        <f>SUM(B7:F7)</f>
        <v/>
      </c>
    </row>
    <row r="8">
      <c r="A8" s="5" t="inlineStr">
        <is>
          <t>Could</t>
        </is>
      </c>
      <c r="B8" s="6">
        <f>COUNTIFS('Historias de usuario'!$G$2:$G$46,$A8,'Historias de usuario'!$H$2:$H$46,SUBSTITUTE(B$5,"*","~*"))</f>
        <v/>
      </c>
      <c r="C8" s="6">
        <f>COUNTIFS('Historias de usuario'!$G$2:$G$46,$A8,'Historias de usuario'!$H$2:$H$46,SUBSTITUTE(C$5,"*","~*"))</f>
        <v/>
      </c>
      <c r="D8" s="6">
        <f>COUNTIFS('Historias de usuario'!$G$2:$G$46,$A8,'Historias de usuario'!$H$2:$H$46,SUBSTITUTE(D$5,"*","~*"))</f>
        <v/>
      </c>
      <c r="E8" s="6">
        <f>COUNTIFS('Historias de usuario'!$G$2:$G$46,$A8,'Historias de usuario'!$H$2:$H$46,SUBSTITUTE(E$5,"*","~*"))</f>
        <v/>
      </c>
      <c r="F8" s="6">
        <f>COUNTIFS('Historias de usuario'!$G$2:$G$46,$A8,'Historias de usuario'!$H$2:$H$46,SUBSTITUTE(F$5,"*","~*"))</f>
        <v/>
      </c>
      <c r="G8" s="6">
        <f>SUM(B8:F8)</f>
        <v/>
      </c>
    </row>
    <row r="9">
      <c r="A9" s="5" t="inlineStr">
        <is>
          <t>Won't</t>
        </is>
      </c>
      <c r="B9" s="6">
        <f>COUNTIFS('Historias de usuario'!$G$2:$G$46,$A9,'Historias de usuario'!$H$2:$H$46,SUBSTITUTE(B$5,"*","~*"))</f>
        <v/>
      </c>
      <c r="C9" s="6">
        <f>COUNTIFS('Historias de usuario'!$G$2:$G$46,$A9,'Historias de usuario'!$H$2:$H$46,SUBSTITUTE(C$5,"*","~*"))</f>
        <v/>
      </c>
      <c r="D9" s="6">
        <f>COUNTIFS('Historias de usuario'!$G$2:$G$46,$A9,'Historias de usuario'!$H$2:$H$46,SUBSTITUTE(D$5,"*","~*"))</f>
        <v/>
      </c>
      <c r="E9" s="6">
        <f>COUNTIFS('Historias de usuario'!$G$2:$G$46,$A9,'Historias de usuario'!$H$2:$H$46,SUBSTITUTE(E$5,"*","~*"))</f>
        <v/>
      </c>
      <c r="F9" s="6">
        <f>COUNTIFS('Historias de usuario'!$G$2:$G$46,$A9,'Historias de usuario'!$H$2:$H$46,SUBSTITUTE(F$5,"*","~*"))</f>
        <v/>
      </c>
      <c r="G9" s="6">
        <f>SUM(B9:F9)</f>
        <v/>
      </c>
    </row>
    <row r="10">
      <c r="A10" s="5" t="inlineStr">
        <is>
          <t>Total</t>
        </is>
      </c>
      <c r="B10" s="5">
        <f>SUM(B6:B9)</f>
        <v/>
      </c>
      <c r="C10" s="5">
        <f>SUM(C6:C9)</f>
        <v/>
      </c>
      <c r="D10" s="5">
        <f>SUM(D6:D9)</f>
        <v/>
      </c>
      <c r="E10" s="5">
        <f>SUM(E6:E9)</f>
        <v/>
      </c>
      <c r="F10" s="5">
        <f>SUM(F6:F9)</f>
        <v/>
      </c>
      <c r="G10" s="5">
        <f>SUM(G6:G9)</f>
        <v/>
      </c>
    </row>
    <row r="12">
      <c r="A12" s="3" t="inlineStr">
        <is>
          <t>Historias por épica</t>
        </is>
      </c>
    </row>
    <row r="13">
      <c r="A13" s="4" t="inlineStr">
        <is>
          <t>Épica</t>
        </is>
      </c>
      <c r="B13" s="4" t="inlineStr">
        <is>
          <t>Historias</t>
        </is>
      </c>
      <c r="C13" s="4" t="inlineStr">
        <is>
          <t>Must</t>
        </is>
      </c>
    </row>
    <row r="14">
      <c r="A14" s="5" t="inlineStr">
        <is>
          <t>A. Catálogo y stock</t>
        </is>
      </c>
      <c r="B14" s="6">
        <f>COUNTIF('Historias de usuario'!$B$2:$B$46,A14)</f>
        <v/>
      </c>
      <c r="C14" s="6">
        <f>COUNTIFS('Historias de usuario'!$B$2:$B$46,A14,'Historias de usuario'!$G$2:$G$46,"Must")</f>
        <v/>
      </c>
    </row>
    <row r="15">
      <c r="A15" s="5" t="inlineStr">
        <is>
          <t>B. Venta en mostrador</t>
        </is>
      </c>
      <c r="B15" s="6">
        <f>COUNTIF('Historias de usuario'!$B$2:$B$46,A15)</f>
        <v/>
      </c>
      <c r="C15" s="6">
        <f>COUNTIFS('Historias de usuario'!$B$2:$B$46,A15,'Historias de usuario'!$G$2:$G$46,"Must")</f>
        <v/>
      </c>
    </row>
    <row r="16">
      <c r="A16" s="5" t="inlineStr">
        <is>
          <t>C. Facturación</t>
        </is>
      </c>
      <c r="B16" s="6">
        <f>COUNTIF('Historias de usuario'!$B$2:$B$46,A16)</f>
        <v/>
      </c>
      <c r="C16" s="6">
        <f>COUNTIFS('Historias de usuario'!$B$2:$B$46,A16,'Historias de usuario'!$G$2:$G$46,"Must")</f>
        <v/>
      </c>
    </row>
    <row r="17">
      <c r="A17" s="5" t="inlineStr">
        <is>
          <t>D. Compras y proveedores</t>
        </is>
      </c>
      <c r="B17" s="6">
        <f>COUNTIF('Historias de usuario'!$B$2:$B$46,A17)</f>
        <v/>
      </c>
      <c r="C17" s="6">
        <f>COUNTIFS('Historias de usuario'!$B$2:$B$46,A17,'Historias de usuario'!$G$2:$G$46,"Must")</f>
        <v/>
      </c>
    </row>
    <row r="18">
      <c r="A18" s="5" t="inlineStr">
        <is>
          <t>E. Usuarios y permisos</t>
        </is>
      </c>
      <c r="B18" s="6">
        <f>COUNTIF('Historias de usuario'!$B$2:$B$46,A18)</f>
        <v/>
      </c>
      <c r="C18" s="6">
        <f>COUNTIFS('Historias de usuario'!$B$2:$B$46,A18,'Historias de usuario'!$G$2:$G$46,"Must")</f>
        <v/>
      </c>
    </row>
    <row r="19">
      <c r="A19" s="5" t="inlineStr">
        <is>
          <t>F. Informes e integraciones</t>
        </is>
      </c>
      <c r="B19" s="6">
        <f>COUNTIF('Historias de usuario'!$B$2:$B$46,A19)</f>
        <v/>
      </c>
      <c r="C19" s="6">
        <f>COUNTIFS('Historias de usuario'!$B$2:$B$46,A19,'Historias de usuario'!$G$2:$G$46,"Must")</f>
        <v/>
      </c>
    </row>
    <row r="20">
      <c r="A20" s="5" t="inlineStr">
        <is>
          <t>G. Operación y continuidad</t>
        </is>
      </c>
      <c r="B20" s="6">
        <f>COUNTIF('Historias de usuario'!$B$2:$B$46,A20)</f>
        <v/>
      </c>
      <c r="C20" s="6">
        <f>COUNTIFS('Historias de usuario'!$B$2:$B$46,A20,'Historias de usuario'!$G$2:$G$46,"Must")</f>
        <v/>
      </c>
    </row>
    <row r="21">
      <c r="A21" s="5" t="inlineStr">
        <is>
          <t>H. Aparcadas</t>
        </is>
      </c>
      <c r="B21" s="6">
        <f>COUNTIF('Historias de usuario'!$B$2:$B$46,A21)</f>
        <v/>
      </c>
      <c r="C21" s="6">
        <f>COUNTIFS('Historias de usuario'!$B$2:$B$46,A21,'Historias de usuario'!$G$2:$G$46,"Must")</f>
        <v/>
      </c>
    </row>
    <row r="22">
      <c r="A22" s="5" t="inlineStr">
        <is>
          <t>Total</t>
        </is>
      </c>
      <c r="B22" s="5">
        <f>SUM(B14:B21)</f>
        <v/>
      </c>
      <c r="C22" s="5">
        <f>SUM(C14:C21)</f>
        <v/>
      </c>
    </row>
    <row r="24">
      <c r="A24" s="3" t="inlineStr">
        <is>
          <t>Requisitos</t>
        </is>
      </c>
    </row>
    <row r="25">
      <c r="A25" s="4" t="inlineStr">
        <is>
          <t>Tipo</t>
        </is>
      </c>
      <c r="B25" s="4" t="inlineStr">
        <is>
          <t>Must</t>
        </is>
      </c>
      <c r="C25" s="4" t="inlineStr">
        <is>
          <t>Should</t>
        </is>
      </c>
      <c r="D25" s="4" t="inlineStr">
        <is>
          <t>Could</t>
        </is>
      </c>
      <c r="E25" s="4" t="inlineStr">
        <is>
          <t>Won't</t>
        </is>
      </c>
      <c r="F25" s="4" t="inlineStr">
        <is>
          <t>Total</t>
        </is>
      </c>
    </row>
    <row r="26">
      <c r="A26" s="5" t="inlineStr">
        <is>
          <t>Funcionales (RF)</t>
        </is>
      </c>
      <c r="B26" s="6">
        <f>COUNTIFS(Requisitos!$A$2:$A$55,"RF-*",Requisitos!$D$2:$D$55,"Must")</f>
        <v/>
      </c>
      <c r="C26" s="6">
        <f>COUNTIFS(Requisitos!$A$2:$A$55,"RF-*",Requisitos!$D$2:$D$55,"Should")</f>
        <v/>
      </c>
      <c r="D26" s="6">
        <f>COUNTIFS(Requisitos!$A$2:$A$55,"RF-*",Requisitos!$D$2:$D$55,"Could")</f>
        <v/>
      </c>
      <c r="E26" s="6">
        <f>COUNTIFS(Requisitos!$A$2:$A$55,"RF-*",Requisitos!$D$2:$D$55,"Won't")</f>
        <v/>
      </c>
      <c r="F26" s="6">
        <f>SUM(B26:E26)</f>
        <v/>
      </c>
    </row>
    <row r="27">
      <c r="A27" s="5" t="inlineStr">
        <is>
          <t>No funcionales (RNF)</t>
        </is>
      </c>
      <c r="B27" s="6">
        <f>COUNTIFS(Requisitos!$A$2:$A$55,"RNF-*",Requisitos!$D$2:$D$55,"Must")</f>
        <v/>
      </c>
      <c r="C27" s="6">
        <f>COUNTIFS(Requisitos!$A$2:$A$55,"RNF-*",Requisitos!$D$2:$D$55,"Should")</f>
        <v/>
      </c>
      <c r="D27" s="6">
        <f>COUNTIFS(Requisitos!$A$2:$A$55,"RNF-*",Requisitos!$D$2:$D$55,"Could")</f>
        <v/>
      </c>
      <c r="E27" s="6">
        <f>COUNTIFS(Requisitos!$A$2:$A$55,"RNF-*",Requisitos!$D$2:$D$55,"Won't")</f>
        <v/>
      </c>
      <c r="F27" s="6">
        <f>SUM(B27:E27)</f>
        <v/>
      </c>
    </row>
    <row r="29">
      <c r="A29" s="5" t="inlineStr">
        <is>
          <t>Preguntas abiertas pendientes</t>
        </is>
      </c>
      <c r="B29" s="6">
        <f>COUNTIF('Preguntas abiertas'!$F$2:$F$27,"Pendiente")</f>
        <v/>
      </c>
    </row>
    <row r="31">
      <c r="A31" s="7" t="inlineStr">
        <is>
          <t>Notas</t>
        </is>
      </c>
    </row>
    <row r="32">
      <c r="A32" s="8" t="inlineStr">
        <is>
          <t>F1 y F2 son las fases acordadas en el correo del 07/10/2026; F1* y F2* son propuestas del analista (F1* se puede aplazar si el calendario aprieta) y deben validarse con el cliente.</t>
        </is>
      </c>
    </row>
    <row r="33">
      <c r="A33" s="8" t="inlineStr">
        <is>
          <t>Las historias HU-23 (vender sin stock) y HU-31 (pedidos a proveedor) dependen de decisiones pendientes del cliente (Q-01, Q-02).</t>
        </is>
      </c>
    </row>
    <row r="34">
      <c r="A34" s="8" t="inlineStr">
        <is>
          <t>HU-41 (cobrar sin internet) y HU-26 (Verifactu) requieren análisis de arquitectura antes de planificarse (Q-04, Q-05, Q-06).</t>
        </is>
      </c>
    </row>
    <row r="35">
      <c r="A35" s="8" t="inlineStr">
        <is>
          <t>El estado de desarrollo (hoja Historias de usuario, última columna) se puede actualizar con la lista desplegable.</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8" customWidth="1" min="3" max="3"/>
    <col width="42" customWidth="1" min="4" max="4"/>
    <col width="38" customWidth="1" min="5" max="5"/>
    <col width="80" customWidth="1" min="6" max="6"/>
    <col width="13" customWidth="1" min="7" max="7"/>
    <col width="11" customWidth="1" min="8" max="8"/>
    <col width="16" customWidth="1" min="9" max="9"/>
    <col width="24" customWidth="1" min="10" max="10"/>
    <col width="16" customWidth="1" min="11" max="11"/>
    <col width="18" customWidth="1" min="12" max="12"/>
  </cols>
  <sheetData>
    <row r="1">
      <c r="A1" s="9" t="inlineStr">
        <is>
          <t>ID</t>
        </is>
      </c>
      <c r="B1" s="9" t="inlineStr">
        <is>
          <t>Épica</t>
        </is>
      </c>
      <c r="C1" s="9" t="inlineStr">
        <is>
          <t>Como (rol)</t>
        </is>
      </c>
      <c r="D1" s="9" t="inlineStr">
        <is>
          <t>Quiero</t>
        </is>
      </c>
      <c r="E1" s="9" t="inlineStr">
        <is>
          <t>Para</t>
        </is>
      </c>
      <c r="F1" s="9" t="inlineStr">
        <is>
          <t>Criterios de aceptación (Dado / Cuando / Entonces)</t>
        </is>
      </c>
      <c r="G1" s="9" t="inlineStr">
        <is>
          <t>Prioridad (MoSCoW)</t>
        </is>
      </c>
      <c r="H1" s="9" t="inlineStr">
        <is>
          <t>Fase</t>
        </is>
      </c>
      <c r="I1" s="9" t="inlineStr">
        <is>
          <t>Requisitos asociados</t>
        </is>
      </c>
      <c r="J1" s="9" t="inlineStr">
        <is>
          <t>Dependencias / preguntas abiertas</t>
        </is>
      </c>
      <c r="K1" s="9" t="inlineStr">
        <is>
          <t>Estado vs. proyecto actual</t>
        </is>
      </c>
      <c r="L1" s="9" t="inlineStr">
        <is>
          <t>Estado de desarrollo</t>
        </is>
      </c>
    </row>
    <row r="2">
      <c r="A2" s="10" t="inlineStr">
        <is>
          <t>HU-01</t>
        </is>
      </c>
      <c r="B2" s="10" t="inlineStr">
        <is>
          <t>A. Catálogo y stock</t>
        </is>
      </c>
      <c r="C2" s="10" t="inlineStr">
        <is>
          <t>Responsable de almacén y compras (Javier)</t>
        </is>
      </c>
      <c r="D2" s="10" t="inlineStr">
        <is>
          <t>Quiero gestionar el catálogo de productos con referencia, descripción, familia, proveedor, precios, stock mínimo y observaciones</t>
        </is>
      </c>
      <c r="E2" s="10" t="inlineStr">
        <is>
          <t>Para tener un único catálogo fiable en lugar de dos Excel</t>
        </is>
      </c>
      <c r="F2" s="10" t="inlineStr">
        <is>
          <t>1. Dado un producto nuevo, cuando indico referencia, descripción, familia, proveedor, precio de compra y PVP sin IVA, entonces queda guardado y aparece en el catálogo.
2. Dado que ya existe la referencia FR-0001, cuando intento crear otra con la misma referencia, entonces el sistema la rechaza con un mensaje claro.
3. Dado un precio o stock negativo o no numérico, cuando intento guardar, entonces el sistema lo rechaza indicando el campo.</t>
        </is>
      </c>
      <c r="G2" s="10" t="inlineStr">
        <is>
          <t>Must</t>
        </is>
      </c>
      <c r="H2" s="10" t="inlineStr">
        <is>
          <t>F1</t>
        </is>
      </c>
      <c r="I2" s="10" t="inlineStr">
        <is>
          <t>RF-03</t>
        </is>
      </c>
      <c r="J2" s="10" t="inlineStr">
        <is>
          <t>—</t>
        </is>
      </c>
      <c r="K2" s="10" t="inlineStr">
        <is>
          <t>Nuevo</t>
        </is>
      </c>
      <c r="L2" s="10" t="inlineStr">
        <is>
          <t>Pendiente</t>
        </is>
      </c>
    </row>
    <row r="3">
      <c r="A3" s="10" t="inlineStr">
        <is>
          <t>HU-02</t>
        </is>
      </c>
      <c r="B3" s="10" t="inlineStr">
        <is>
          <t>A. Catálogo y stock</t>
        </is>
      </c>
      <c r="C3" s="10" t="inlineStr">
        <is>
          <t>Responsable de almacén y compras (Javier)</t>
        </is>
      </c>
      <c r="D3" s="10" t="inlineStr">
        <is>
          <t>Quiero importar el listado de productos desde Excel/CSV</t>
        </is>
      </c>
      <c r="E3" s="10" t="inlineStr">
        <is>
          <t>Para no volver a teclear los productos de la nave y de la tienda</t>
        </is>
      </c>
      <c r="F3" s="10" t="inlineStr">
        <is>
          <t>1. Dado el listado con las 9 columnas del formato actual, cuando lo importo, entonces se crean los productos y se informa de cuántos se han creado y cuáles se han rechazado y por qué.
2. Dado un importe con coma decimal (98,40) y tildes (Tornillería), cuando importo, entonces se interpretan correctamente.
3. Dado que importo dos veces el mismo fichero, cuando termina la segunda, entonces no hay referencias duplicadas.</t>
        </is>
      </c>
      <c r="G3" s="10" t="inlineStr">
        <is>
          <t>Must</t>
        </is>
      </c>
      <c r="H3" s="10" t="inlineStr">
        <is>
          <t>F1</t>
        </is>
      </c>
      <c r="I3" s="10" t="inlineStr">
        <is>
          <t>RF-04</t>
        </is>
      </c>
      <c r="J3" s="10" t="inlineStr">
        <is>
          <t>Q-09</t>
        </is>
      </c>
      <c r="K3" s="10" t="inlineStr">
        <is>
          <t>Nuevo</t>
        </is>
      </c>
      <c r="L3" s="10" t="inlineStr">
        <is>
          <t>Pendiente</t>
        </is>
      </c>
    </row>
    <row r="4">
      <c r="A4" s="10" t="inlineStr">
        <is>
          <t>HU-03</t>
        </is>
      </c>
      <c r="B4" s="10" t="inlineStr">
        <is>
          <t>A. Catálogo y stock</t>
        </is>
      </c>
      <c r="C4" s="10" t="inlineStr">
        <is>
          <t>Responsable de almacén y compras (Javier)</t>
        </is>
      </c>
      <c r="D4" s="10" t="inlineStr">
        <is>
          <t>Quiero asociar uno o varios códigos de barras a cada producto</t>
        </is>
      </c>
      <c r="E4" s="10" t="inlineStr">
        <is>
          <t>Para poder vender leyendo el código con la pistola</t>
        </is>
      </c>
      <c r="F4" s="10" t="inlineStr">
        <is>
          <t>1. Dado un producto sin código, cuando le asigno un código de barras, entonces queda guardado.
2. Dado un código ya asignado a otro producto, cuando intento asignarlo, entonces el sistema lo rechaza indicando a qué producto pertenece.
3. Dado un producto con varios códigos (unidad y caja), cuando lo busco por cualquiera de ellos, entonces se localiza el mismo producto.</t>
        </is>
      </c>
      <c r="G4" s="10" t="inlineStr">
        <is>
          <t>Must</t>
        </is>
      </c>
      <c r="H4" s="10" t="inlineStr">
        <is>
          <t>F1</t>
        </is>
      </c>
      <c r="I4" s="10" t="inlineStr">
        <is>
          <t>RF-05</t>
        </is>
      </c>
      <c r="J4" s="10" t="inlineStr">
        <is>
          <t>Q-10, Q-11</t>
        </is>
      </c>
      <c r="K4" s="10" t="inlineStr">
        <is>
          <t>Nuevo</t>
        </is>
      </c>
      <c r="L4" s="10" t="inlineStr">
        <is>
          <t>Pendiente</t>
        </is>
      </c>
    </row>
    <row r="5">
      <c r="A5" s="10" t="inlineStr">
        <is>
          <t>HU-04</t>
        </is>
      </c>
      <c r="B5" s="10" t="inlineStr">
        <is>
          <t>A. Catálogo y stock</t>
        </is>
      </c>
      <c r="C5" s="10" t="inlineStr">
        <is>
          <t>Responsable de almacén y compras (Javier)</t>
        </is>
      </c>
      <c r="D5" s="10" t="inlineStr">
        <is>
          <t>Quiero ver y mantener el stock de cada producto por ubicación (nave y tienda)</t>
        </is>
      </c>
      <c r="E5" s="10" t="inlineStr">
        <is>
          <t>Para saber qué hay realmente en cada sitio</t>
        </is>
      </c>
      <c r="F5" s="10" t="inlineStr">
        <is>
          <t>1. Dado un producto con 7 unidades en la nave y 2 en la tienda, cuando consulto la nave, entonces veo 7; y cuando consulto la tienda, veo 2.
2. Dado un usuario sin permiso de almacén, cuando intenta modificar el stock, entonces el sistema lo impide.</t>
        </is>
      </c>
      <c r="G5" s="10" t="inlineStr">
        <is>
          <t>Must</t>
        </is>
      </c>
      <c r="H5" s="10" t="inlineStr">
        <is>
          <t>F1</t>
        </is>
      </c>
      <c r="I5" s="10" t="inlineStr">
        <is>
          <t>RF-01</t>
        </is>
      </c>
      <c r="J5" s="10" t="inlineStr">
        <is>
          <t>—</t>
        </is>
      </c>
      <c r="K5" s="10" t="inlineStr">
        <is>
          <t>Nuevo</t>
        </is>
      </c>
      <c r="L5" s="10" t="inlineStr">
        <is>
          <t>Pendiente</t>
        </is>
      </c>
    </row>
    <row r="6">
      <c r="A6" s="10" t="inlineStr">
        <is>
          <t>HU-05</t>
        </is>
      </c>
      <c r="B6" s="10" t="inlineStr">
        <is>
          <t>A. Catálogo y stock</t>
        </is>
      </c>
      <c r="C6" s="10" t="inlineStr">
        <is>
          <t>Dirección (Marisa)</t>
        </is>
      </c>
      <c r="D6" s="10" t="inlineStr">
        <is>
          <t>Quiero ver en una sola pantalla el stock de todas las ubicaciones con total y desglose</t>
        </is>
      </c>
      <c r="E6" s="10" t="inlineStr">
        <is>
          <t>Para tener una visión global sin abrir dos Excel</t>
        </is>
      </c>
      <c r="F6" s="10" t="inlineStr">
        <is>
          <t>1. Dado un producto con stock en ambas ubicaciones, cuando abro la vista global, entonces veo el total y el desglose por ubicación.
2. Dado el filtro por familia o por referencia, cuando lo aplico, entonces solo se muestran los productos que coinciden.</t>
        </is>
      </c>
      <c r="G6" s="10" t="inlineStr">
        <is>
          <t>Must</t>
        </is>
      </c>
      <c r="H6" s="10" t="inlineStr">
        <is>
          <t>F1</t>
        </is>
      </c>
      <c r="I6" s="10" t="inlineStr">
        <is>
          <t>RF-02</t>
        </is>
      </c>
      <c r="J6" s="10" t="inlineStr">
        <is>
          <t>—</t>
        </is>
      </c>
      <c r="K6" s="10" t="inlineStr">
        <is>
          <t>Nuevo</t>
        </is>
      </c>
      <c r="L6" s="10" t="inlineStr">
        <is>
          <t>Pendiente</t>
        </is>
      </c>
    </row>
    <row r="7">
      <c r="A7" s="10" t="inlineStr">
        <is>
          <t>HU-06</t>
        </is>
      </c>
      <c r="B7" s="10" t="inlineStr">
        <is>
          <t>A. Catálogo y stock</t>
        </is>
      </c>
      <c r="C7" s="10" t="inlineStr">
        <is>
          <t>Responsable de almacén y compras (Javier)</t>
        </is>
      </c>
      <c r="D7" s="10" t="inlineStr">
        <is>
          <t>Quiero registrar entradas de mercancía y ajustes manuales de stock con motivo</t>
        </is>
      </c>
      <c r="E7" s="10" t="inlineStr">
        <is>
          <t>Para mantener el stock correcto cuando llega género o hay diferencias</t>
        </is>
      </c>
      <c r="F7" s="10" t="inlineStr">
        <is>
          <t>1. Dado una entrada de 20 unidades en la nave, cuando la registro, entonces el stock de la nave aumenta en 20 y queda un movimiento con usuario, fecha y motivo.
2. Dado un ajuste sin motivo, cuando intento guardarlo, entonces el sistema lo rechaza.</t>
        </is>
      </c>
      <c r="G7" s="10" t="inlineStr">
        <is>
          <t>Must</t>
        </is>
      </c>
      <c r="H7" s="10" t="inlineStr">
        <is>
          <t>F1</t>
        </is>
      </c>
      <c r="I7" s="10" t="inlineStr">
        <is>
          <t>RF-07</t>
        </is>
      </c>
      <c r="J7" s="10" t="inlineStr">
        <is>
          <t>—</t>
        </is>
      </c>
      <c r="K7" s="10" t="inlineStr">
        <is>
          <t>Nuevo</t>
        </is>
      </c>
      <c r="L7" s="10" t="inlineStr">
        <is>
          <t>Pendiente</t>
        </is>
      </c>
    </row>
    <row r="8">
      <c r="A8" s="10" t="inlineStr">
        <is>
          <t>HU-07</t>
        </is>
      </c>
      <c r="B8" s="10" t="inlineStr">
        <is>
          <t>A. Catálogo y stock</t>
        </is>
      </c>
      <c r="C8" s="10" t="inlineStr">
        <is>
          <t>Personal de mostrador</t>
        </is>
      </c>
      <c r="D8" s="10" t="inlineStr">
        <is>
          <t>Quiero que cada venta descuente el stock de la ubicación donde se realiza</t>
        </is>
      </c>
      <c r="E8" s="10" t="inlineStr">
        <is>
          <t>Para no tener que actualizar el stock a mano</t>
        </is>
      </c>
      <c r="F8" s="10" t="inlineStr">
        <is>
          <t>1. Dado una venta de 2 unidades en la tienda, cuando se cobra, entonces el stock de la tienda baja en 2 y el de la nave no cambia.
2. Dado una devolución de 1 unidad, cuando se registra, entonces el stock de esa ubicación sube en 1.</t>
        </is>
      </c>
      <c r="G8" s="10" t="inlineStr">
        <is>
          <t>Must</t>
        </is>
      </c>
      <c r="H8" s="10" t="inlineStr">
        <is>
          <t>F1</t>
        </is>
      </c>
      <c r="I8" s="10" t="inlineStr">
        <is>
          <t>RF-06</t>
        </is>
      </c>
      <c r="J8" s="10" t="inlineStr">
        <is>
          <t>Q-01</t>
        </is>
      </c>
      <c r="K8" s="10" t="inlineStr">
        <is>
          <t>Nuevo</t>
        </is>
      </c>
      <c r="L8" s="10" t="inlineStr">
        <is>
          <t>Pendiente</t>
        </is>
      </c>
    </row>
    <row r="9">
      <c r="A9" s="10" t="inlineStr">
        <is>
          <t>HU-08</t>
        </is>
      </c>
      <c r="B9" s="10" t="inlineStr">
        <is>
          <t>A. Catálogo y stock</t>
        </is>
      </c>
      <c r="C9" s="10" t="inlineStr">
        <is>
          <t>Responsable de almacén y compras (Javier)</t>
        </is>
      </c>
      <c r="D9" s="10" t="inlineStr">
        <is>
          <t>Quiero traspasar unidades entre la nave y la tienda</t>
        </is>
      </c>
      <c r="E9" s="10" t="inlineStr">
        <is>
          <t>Para reflejar el movimiento de género entre ubicaciones</t>
        </is>
      </c>
      <c r="F9" s="10" t="inlineStr">
        <is>
          <t>1. Dado un traspaso de 5 unidades de la nave a la tienda, cuando lo confirmo, entonces la nave baja en 5 y la tienda sube en 5 en una única operación.
2. Dado que la nave tiene menos unidades de las traspasadas, cuando intento confirmar, entonces el sistema lo rechaza.</t>
        </is>
      </c>
      <c r="G9" s="10" t="inlineStr">
        <is>
          <t>Should</t>
        </is>
      </c>
      <c r="H9" s="10" t="inlineStr">
        <is>
          <t>F1*</t>
        </is>
      </c>
      <c r="I9" s="10" t="inlineStr">
        <is>
          <t>RF-08</t>
        </is>
      </c>
      <c r="J9" s="10" t="inlineStr">
        <is>
          <t>—</t>
        </is>
      </c>
      <c r="K9" s="10" t="inlineStr">
        <is>
          <t>Nuevo</t>
        </is>
      </c>
      <c r="L9" s="10" t="inlineStr">
        <is>
          <t>Pendiente</t>
        </is>
      </c>
    </row>
    <row r="10">
      <c r="A10" s="10" t="inlineStr">
        <is>
          <t>HU-09</t>
        </is>
      </c>
      <c r="B10" s="10" t="inlineStr">
        <is>
          <t>A. Catálogo y stock</t>
        </is>
      </c>
      <c r="C10" s="10" t="inlineStr">
        <is>
          <t>Responsable de almacén y compras (Javier)</t>
        </is>
      </c>
      <c r="D10" s="10" t="inlineStr">
        <is>
          <t>Quiero recibir un aviso en la pantalla principal de los productos por debajo del stock mínimo</t>
        </is>
      </c>
      <c r="E10" s="10" t="inlineStr">
        <is>
          <t>Para pedir a tiempo sin revisar el Excel</t>
        </is>
      </c>
      <c r="F10" s="10" t="inlineStr">
        <is>
          <t>1. Dado el listado actual, cuando abro la pantalla principal, entonces aparecen al menos FR-0024, FR-0033 y FR-0053 como productos bajo mínimo.
2. Dado un producto cuyo stock iguala su mínimo, cuando se evalúa el aviso, entonces no se marca (criterio a confirmar en Q-13).
3. Dado un producto descatalogado, cuando se evalúa el aviso, entonces no aparece.</t>
        </is>
      </c>
      <c r="G10" s="10" t="inlineStr">
        <is>
          <t>Should</t>
        </is>
      </c>
      <c r="H10" s="10" t="inlineStr">
        <is>
          <t>F1*</t>
        </is>
      </c>
      <c r="I10" s="10" t="inlineStr">
        <is>
          <t>RF-09, RF-10</t>
        </is>
      </c>
      <c r="J10" s="10" t="inlineStr">
        <is>
          <t>Q-13</t>
        </is>
      </c>
      <c r="K10" s="10" t="inlineStr">
        <is>
          <t>Nuevo</t>
        </is>
      </c>
      <c r="L10" s="10" t="inlineStr">
        <is>
          <t>Pendiente</t>
        </is>
      </c>
    </row>
    <row r="11">
      <c r="A11" s="10" t="inlineStr">
        <is>
          <t>HU-10</t>
        </is>
      </c>
      <c r="B11" s="10" t="inlineStr">
        <is>
          <t>A. Catálogo y stock</t>
        </is>
      </c>
      <c r="C11" s="10" t="inlineStr">
        <is>
          <t>Responsable de almacén y compras (Javier)</t>
        </is>
      </c>
      <c r="D11" s="10" t="inlineStr">
        <is>
          <t>Quiero marcar un producto como descatalogado / no reponer</t>
        </is>
      </c>
      <c r="E11" s="10" t="inlineStr">
        <is>
          <t>Para evitar avisos y pedidos de productos que ya no se compran</t>
        </is>
      </c>
      <c r="F11" s="10" t="inlineStr">
        <is>
          <t>1. Dado FR-0080 marcado como descatalogado, cuando se generan avisos o propuestas de pedido, entonces no aparece.
2. Dado un producto descatalogado con stock, cuando se vende, entonces sigue pudiendo venderse hasta agotarlo.</t>
        </is>
      </c>
      <c r="G11" s="10" t="inlineStr">
        <is>
          <t>Should</t>
        </is>
      </c>
      <c r="H11" s="10" t="inlineStr">
        <is>
          <t>F1*</t>
        </is>
      </c>
      <c r="I11" s="10" t="inlineStr">
        <is>
          <t>RF-10</t>
        </is>
      </c>
      <c r="J11" s="10" t="inlineStr">
        <is>
          <t>—</t>
        </is>
      </c>
      <c r="K11" s="10" t="inlineStr">
        <is>
          <t>Nuevo</t>
        </is>
      </c>
      <c r="L11" s="10" t="inlineStr">
        <is>
          <t>Pendiente</t>
        </is>
      </c>
    </row>
    <row r="12">
      <c r="A12" s="10" t="inlineStr">
        <is>
          <t>HU-11</t>
        </is>
      </c>
      <c r="B12" s="10" t="inlineStr">
        <is>
          <t>A. Catálogo y stock</t>
        </is>
      </c>
      <c r="C12" s="10" t="inlineStr">
        <is>
          <t>Personal de mostrador</t>
        </is>
      </c>
      <c r="D12" s="10" t="inlineStr">
        <is>
          <t>Quiero ver la foto del producto en su ficha y al venderlo</t>
        </is>
      </c>
      <c r="E12" s="10" t="inlineStr">
        <is>
          <t>Para distinguir referencias parecidas siendo nuevo en el mostrador</t>
        </is>
      </c>
      <c r="F12" s="10" t="inlineStr">
        <is>
          <t>1. Dado un producto con foto, cuando lo abro o lo añado a la venta, entonces veo la foto.
2. Dado un fichero que no es imagen o que supera el tamaño permitido, cuando intento subirlo, entonces el sistema lo rechaza.</t>
        </is>
      </c>
      <c r="G12" s="10" t="inlineStr">
        <is>
          <t>Should</t>
        </is>
      </c>
      <c r="H12" s="10" t="inlineStr">
        <is>
          <t>F1*</t>
        </is>
      </c>
      <c r="I12" s="10" t="inlineStr">
        <is>
          <t>RF-12</t>
        </is>
      </c>
      <c r="J12" s="10" t="inlineStr">
        <is>
          <t>—</t>
        </is>
      </c>
      <c r="K12" s="10" t="inlineStr">
        <is>
          <t>Nuevo</t>
        </is>
      </c>
      <c r="L12" s="10" t="inlineStr">
        <is>
          <t>Pendiente</t>
        </is>
      </c>
    </row>
    <row r="13">
      <c r="A13" s="10" t="inlineStr">
        <is>
          <t>HU-12</t>
        </is>
      </c>
      <c r="B13" s="10" t="inlineStr">
        <is>
          <t>A. Catálogo y stock</t>
        </is>
      </c>
      <c r="C13" s="10" t="inlineStr">
        <is>
          <t>Responsable de almacén y compras (Javier)</t>
        </is>
      </c>
      <c r="D13" s="10" t="inlineStr">
        <is>
          <t>Quiero dar de alta un producto nuevo rápidamente desde el móvil</t>
        </is>
      </c>
      <c r="E13" s="10" t="inlineStr">
        <is>
          <t>Para registrar referencias nuevas cuando llega un pedido</t>
        </is>
      </c>
      <c r="F13" s="10" t="inlineStr">
        <is>
          <t>1. Dado el móvil, cuando introduzco referencia, descripción y familia y hago una foto, entonces el producto queda creado.
2. Dado un producto creado desde el móvil con datos incompletos, cuando lo consulto, entonces aparece marcado como pendiente de completar.</t>
        </is>
      </c>
      <c r="G13" s="10" t="inlineStr">
        <is>
          <t>Could</t>
        </is>
      </c>
      <c r="H13" s="10" t="inlineStr">
        <is>
          <t>F2*</t>
        </is>
      </c>
      <c r="I13" s="10" t="inlineStr">
        <is>
          <t>RF-13, RNF-08</t>
        </is>
      </c>
      <c r="J13" s="10" t="inlineStr">
        <is>
          <t>—</t>
        </is>
      </c>
      <c r="K13" s="10" t="inlineStr">
        <is>
          <t>Nuevo</t>
        </is>
      </c>
      <c r="L13" s="10" t="inlineStr">
        <is>
          <t>Pendiente</t>
        </is>
      </c>
    </row>
    <row r="14">
      <c r="A14" s="10" t="inlineStr">
        <is>
          <t>HU-13</t>
        </is>
      </c>
      <c r="B14" s="10" t="inlineStr">
        <is>
          <t>A. Catálogo y stock</t>
        </is>
      </c>
      <c r="C14" s="10" t="inlineStr">
        <is>
          <t>Responsable de almacén y compras (Javier)</t>
        </is>
      </c>
      <c r="D14" s="10" t="inlineStr">
        <is>
          <t>Quiero imprimir etiquetas de estantería con precio y código de barras</t>
        </is>
      </c>
      <c r="E14" s="10" t="inlineStr">
        <is>
          <t>Para etiquetar el género sin hacerlo a mano</t>
        </is>
      </c>
      <c r="F14" s="10" t="inlineStr">
        <is>
          <t>1. Dado un producto con código de barras, cuando solicito su etiqueta, entonces se genera con descripción, PVP y código legible por la pistola.
2. Dado un producto sin código, cuando solicito la etiqueta, entonces el sistema avisa de que falta el código.</t>
        </is>
      </c>
      <c r="G14" s="10" t="inlineStr">
        <is>
          <t>Could</t>
        </is>
      </c>
      <c r="H14" s="10" t="inlineStr">
        <is>
          <t>F2*</t>
        </is>
      </c>
      <c r="I14" s="10" t="inlineStr">
        <is>
          <t>RF-14</t>
        </is>
      </c>
      <c r="J14" s="10" t="inlineStr">
        <is>
          <t>Q-18</t>
        </is>
      </c>
      <c r="K14" s="10" t="inlineStr">
        <is>
          <t>Nuevo</t>
        </is>
      </c>
      <c r="L14" s="10" t="inlineStr">
        <is>
          <t>Pendiente</t>
        </is>
      </c>
    </row>
    <row r="15">
      <c r="A15" s="10" t="inlineStr">
        <is>
          <t>HU-14</t>
        </is>
      </c>
      <c r="B15" s="10" t="inlineStr">
        <is>
          <t>A. Catálogo y stock</t>
        </is>
      </c>
      <c r="C15" s="10" t="inlineStr">
        <is>
          <t>Dirección (Marisa)</t>
        </is>
      </c>
      <c r="D15" s="10" t="inlineStr">
        <is>
          <t>Quiero ver los productos que llevan más de seis meses sin venderse</t>
        </is>
      </c>
      <c r="E15" s="10" t="inlineStr">
        <is>
          <t>Para decidir sobre el stock inmovilizado</t>
        </is>
      </c>
      <c r="F15" s="10" t="inlineStr">
        <is>
          <t>1. Dado un producto sin ventas en los últimos 6 meses, cuando abro el informe, entonces aparece con su stock y la fecha de la última venta.
2. Dado un producto con una venta reciente, cuando abro el informe, entonces no aparece.</t>
        </is>
      </c>
      <c r="G15" s="10" t="inlineStr">
        <is>
          <t>Could</t>
        </is>
      </c>
      <c r="H15" s="10" t="inlineStr">
        <is>
          <t>F2*</t>
        </is>
      </c>
      <c r="I15" s="10" t="inlineStr">
        <is>
          <t>RF-11</t>
        </is>
      </c>
      <c r="J15" s="10" t="inlineStr">
        <is>
          <t>—</t>
        </is>
      </c>
      <c r="K15" s="10" t="inlineStr">
        <is>
          <t>Nuevo</t>
        </is>
      </c>
      <c r="L15" s="10" t="inlineStr">
        <is>
          <t>Pendiente</t>
        </is>
      </c>
    </row>
    <row r="16">
      <c r="A16" s="10" t="inlineStr">
        <is>
          <t>HU-15</t>
        </is>
      </c>
      <c r="B16" s="10" t="inlineStr">
        <is>
          <t>B. Venta en mostrador</t>
        </is>
      </c>
      <c r="C16" s="10" t="inlineStr">
        <is>
          <t>Personal de mostrador</t>
        </is>
      </c>
      <c r="D16" s="10" t="inlineStr">
        <is>
          <t>Quiero añadir productos a la venta leyendo su código de barras con la pistola USB</t>
        </is>
      </c>
      <c r="E16" s="10" t="inlineStr">
        <is>
          <t>Para cobrar de forma rápida sin teclear</t>
        </is>
      </c>
      <c r="F16" s="10" t="inlineStr">
        <is>
          <t>1. Dado una venta abierta, cuando leo un código existente, entonces se añade una unidad del producto con su PVP.
2. Dado que leo el mismo código otra vez, entonces la cantidad de esa línea aumenta en 1.
3. Dado un código que no existe, cuando lo leo, entonces aparece un aviso claro y no se añade ninguna línea.</t>
        </is>
      </c>
      <c r="G16" s="10" t="inlineStr">
        <is>
          <t>Must</t>
        </is>
      </c>
      <c r="H16" s="10" t="inlineStr">
        <is>
          <t>F1</t>
        </is>
      </c>
      <c r="I16" s="10" t="inlineStr">
        <is>
          <t>RF-15, RNF-06</t>
        </is>
      </c>
      <c r="J16" s="10" t="inlineStr">
        <is>
          <t>Q-10</t>
        </is>
      </c>
      <c r="K16" s="10" t="inlineStr">
        <is>
          <t>Nuevo</t>
        </is>
      </c>
      <c r="L16" s="10" t="inlineStr">
        <is>
          <t>Pendiente</t>
        </is>
      </c>
    </row>
    <row r="17">
      <c r="A17" s="10" t="inlineStr">
        <is>
          <t>HU-16</t>
        </is>
      </c>
      <c r="B17" s="10" t="inlineStr">
        <is>
          <t>B. Venta en mostrador</t>
        </is>
      </c>
      <c r="C17" s="10" t="inlineStr">
        <is>
          <t>Personal de mostrador</t>
        </is>
      </c>
      <c r="D17" s="10" t="inlineStr">
        <is>
          <t>Quiero buscar productos por referencia o descripción</t>
        </is>
      </c>
      <c r="E17" s="10" t="inlineStr">
        <is>
          <t>Para vender cuando el producto no tiene código o no se lee</t>
        </is>
      </c>
      <c r="F17" s="10" t="inlineStr">
        <is>
          <t>1. Dado el texto "taladro", cuando busco, entonces se muestran los productos cuya descripción lo contiene.
2. Dado un resultado, cuando lo selecciono, entonces se añade a la venta.</t>
        </is>
      </c>
      <c r="G17" s="10" t="inlineStr">
        <is>
          <t>Must</t>
        </is>
      </c>
      <c r="H17" s="10" t="inlineStr">
        <is>
          <t>F1</t>
        </is>
      </c>
      <c r="I17" s="10" t="inlineStr">
        <is>
          <t>RF-16</t>
        </is>
      </c>
      <c r="J17" s="10" t="inlineStr">
        <is>
          <t>—</t>
        </is>
      </c>
      <c r="K17" s="10" t="inlineStr">
        <is>
          <t>Nuevo</t>
        </is>
      </c>
      <c r="L17" s="10" t="inlineStr">
        <is>
          <t>Pendiente</t>
        </is>
      </c>
    </row>
    <row r="18">
      <c r="A18" s="10" t="inlineStr">
        <is>
          <t>HU-17</t>
        </is>
      </c>
      <c r="B18" s="10" t="inlineStr">
        <is>
          <t>B. Venta en mostrador</t>
        </is>
      </c>
      <c r="C18" s="10" t="inlineStr">
        <is>
          <t>Personal de mostrador</t>
        </is>
      </c>
      <c r="D18" s="10" t="inlineStr">
        <is>
          <t>Quiero cobrar una venta con muy pocos pasos</t>
        </is>
      </c>
      <c r="E18" s="10" t="inlineStr">
        <is>
          <t>Para no perder tiempo como con el programa antiguo (seis clics)</t>
        </is>
      </c>
      <c r="F18" s="10" t="inlineStr">
        <is>
          <t>1. Dado una venta con productos, cuando pulso cobrar y confirmo el medio de pago, entonces la venta queda registrada y se emite el documento fiscal.
2. Dado una venta típica, cuando se mide el flujo desde el último artículo, entonces no supera el número de interacciones acordado (propuesta: 3).</t>
        </is>
      </c>
      <c r="G18" s="10" t="inlineStr">
        <is>
          <t>Must</t>
        </is>
      </c>
      <c r="H18" s="10" t="inlineStr">
        <is>
          <t>F1</t>
        </is>
      </c>
      <c r="I18" s="10" t="inlineStr">
        <is>
          <t>RF-17</t>
        </is>
      </c>
      <c r="J18" s="10" t="inlineStr">
        <is>
          <t>Q-15, Q-17</t>
        </is>
      </c>
      <c r="K18" s="10" t="inlineStr">
        <is>
          <t>Nuevo</t>
        </is>
      </c>
      <c r="L18" s="10" t="inlineStr">
        <is>
          <t>Pendiente</t>
        </is>
      </c>
    </row>
    <row r="19">
      <c r="A19" s="10" t="inlineStr">
        <is>
          <t>HU-18</t>
        </is>
      </c>
      <c r="B19" s="10" t="inlineStr">
        <is>
          <t>B. Venta en mostrador</t>
        </is>
      </c>
      <c r="C19" s="10" t="inlineStr">
        <is>
          <t>Personal de mostrador</t>
        </is>
      </c>
      <c r="D19" s="10" t="inlineStr">
        <is>
          <t>Quiero usar la pantalla de venta con pantalla táctil</t>
        </is>
      </c>
      <c r="E19" s="10" t="inlineStr">
        <is>
          <t>Para cobrar sin teclado ni ratón</t>
        </is>
      </c>
      <c r="F19" s="10" t="inlineStr">
        <is>
          <t>1. Dado un dispositivo táctil, cuando uso la pantalla de venta, entonces los botones principales se pulsan con el dedo sin errores de selección.</t>
        </is>
      </c>
      <c r="G19" s="10" t="inlineStr">
        <is>
          <t>Could</t>
        </is>
      </c>
      <c r="H19" s="10" t="inlineStr">
        <is>
          <t>F1*</t>
        </is>
      </c>
      <c r="I19" s="10" t="inlineStr">
        <is>
          <t>RF-18</t>
        </is>
      </c>
      <c r="J19" s="10" t="inlineStr">
        <is>
          <t>Q-18</t>
        </is>
      </c>
      <c r="K19" s="10" t="inlineStr">
        <is>
          <t>Nuevo</t>
        </is>
      </c>
      <c r="L19" s="10" t="inlineStr">
        <is>
          <t>Pendiente</t>
        </is>
      </c>
    </row>
    <row r="20">
      <c r="A20" s="10" t="inlineStr">
        <is>
          <t>HU-19</t>
        </is>
      </c>
      <c r="B20" s="10" t="inlineStr">
        <is>
          <t>B. Venta en mostrador</t>
        </is>
      </c>
      <c r="C20" s="10" t="inlineStr">
        <is>
          <t>Dirección (Marisa)</t>
        </is>
      </c>
      <c r="D20" s="10" t="inlineStr">
        <is>
          <t>Quiero aplicar descuentos a una línea o a una venta</t>
        </is>
      </c>
      <c r="E20" s="10" t="inlineStr">
        <is>
          <t>Para ofrecer precios especiales de forma controlada</t>
        </is>
      </c>
      <c r="F20" s="10" t="inlineStr">
        <is>
          <t>1. Dado una línea de 100 €, cuando aplico un 10 %, entonces el importe de la línea pasa a 90 € y el descuento queda registrado con el usuario que lo aplicó.
2. Dado un descuento superior al máximo definido, cuando intento aplicarlo, entonces el sistema lo rechaza.</t>
        </is>
      </c>
      <c r="G20" s="10" t="inlineStr">
        <is>
          <t>Must</t>
        </is>
      </c>
      <c r="H20" s="10" t="inlineStr">
        <is>
          <t>F1</t>
        </is>
      </c>
      <c r="I20" s="10" t="inlineStr">
        <is>
          <t>RF-19, RNF-09</t>
        </is>
      </c>
      <c r="J20" s="10" t="inlineStr">
        <is>
          <t>Q-16</t>
        </is>
      </c>
      <c r="K20" s="10" t="inlineStr">
        <is>
          <t>Nuevo</t>
        </is>
      </c>
      <c r="L20" s="10" t="inlineStr">
        <is>
          <t>Pendiente</t>
        </is>
      </c>
    </row>
    <row r="21">
      <c r="A21" s="10" t="inlineStr">
        <is>
          <t>HU-20</t>
        </is>
      </c>
      <c r="B21" s="10" t="inlineStr">
        <is>
          <t>B. Venta en mostrador</t>
        </is>
      </c>
      <c r="C21" s="10" t="inlineStr">
        <is>
          <t>Dirección (Marisa)</t>
        </is>
      </c>
      <c r="D21" s="10" t="inlineStr">
        <is>
          <t>Quiero que solo Marisa y Lucía puedan tocar los descuentos</t>
        </is>
      </c>
      <c r="E21" s="10" t="inlineStr">
        <is>
          <t>Para evitar que cualquiera cambie precios</t>
        </is>
      </c>
      <c r="F21" s="10" t="inlineStr">
        <is>
          <t>1. Dado un usuario de Mostrador o de Almacén, cuando intenta aplicar o modificar un descuento, entonces el sistema se lo impide (también desde la API).
2. Dado un usuario de Dirección o de Facturación, cuando aplica un descuento, entonces se permite.</t>
        </is>
      </c>
      <c r="G21" s="10" t="inlineStr">
        <is>
          <t>Must</t>
        </is>
      </c>
      <c r="H21" s="10" t="inlineStr">
        <is>
          <t>F1</t>
        </is>
      </c>
      <c r="I21" s="10" t="inlineStr">
        <is>
          <t>RF-20, RNF-04</t>
        </is>
      </c>
      <c r="J21" s="10" t="inlineStr">
        <is>
          <t>—</t>
        </is>
      </c>
      <c r="K21" s="10" t="inlineStr">
        <is>
          <t>Nuevo</t>
        </is>
      </c>
      <c r="L21" s="10" t="inlineStr">
        <is>
          <t>Pendiente</t>
        </is>
      </c>
    </row>
    <row r="22">
      <c r="A22" s="10" t="inlineStr">
        <is>
          <t>HU-21</t>
        </is>
      </c>
      <c r="B22" s="10" t="inlineStr">
        <is>
          <t>B. Venta en mostrador</t>
        </is>
      </c>
      <c r="C22" s="10" t="inlineStr">
        <is>
          <t>Responsable de facturación y cobros (Lucía)</t>
        </is>
      </c>
      <c r="D22" s="10" t="inlineStr">
        <is>
          <t>Quiero gestionar clientes con sus datos fiscales, régimen de recargo de equivalencia y descuentos por familia</t>
        </is>
      </c>
      <c r="E22" s="10" t="inlineStr">
        <is>
          <t>Para facturar correctamente a cada cliente</t>
        </is>
      </c>
      <c r="F22" s="10" t="inlineStr">
        <is>
          <t>1. Dado un cliente con NIF, cuando lo creo marcando recargo de equivalencia, entonces queda guardado con ese régimen.
2. Dado un NIF ya existente, cuando intento crear otro cliente con él, entonces el sistema lo rechaza.
3. Dado un cliente con un 10 % en Tornillería y un 15 % en Herramienta eléctrica, cuando consulto su ficha, entonces veo ambos descuentos.</t>
        </is>
      </c>
      <c r="G22" s="10" t="inlineStr">
        <is>
          <t>Must</t>
        </is>
      </c>
      <c r="H22" s="10" t="inlineStr">
        <is>
          <t>F1</t>
        </is>
      </c>
      <c r="I22" s="10" t="inlineStr">
        <is>
          <t>RF-21</t>
        </is>
      </c>
      <c r="J22" s="10" t="inlineStr">
        <is>
          <t>Q-08</t>
        </is>
      </c>
      <c r="K22" s="10" t="inlineStr">
        <is>
          <t>Nuevo</t>
        </is>
      </c>
      <c r="L22" s="10" t="inlineStr">
        <is>
          <t>Pendiente</t>
        </is>
      </c>
    </row>
    <row r="23">
      <c r="A23" s="10" t="inlineStr">
        <is>
          <t>HU-22</t>
        </is>
      </c>
      <c r="B23" s="10" t="inlineStr">
        <is>
          <t>B. Venta en mostrador</t>
        </is>
      </c>
      <c r="C23" s="10" t="inlineStr">
        <is>
          <t>Personal de mostrador</t>
        </is>
      </c>
      <c r="D23" s="10" t="inlineStr">
        <is>
          <t>Quiero que al seleccionar un cliente habitual se apliquen sus descuentos por familia</t>
        </is>
      </c>
      <c r="E23" s="10" t="inlineStr">
        <is>
          <t>Para no calcular de cabeza el precio especial</t>
        </is>
      </c>
      <c r="F23" s="10" t="inlineStr">
        <is>
          <t>1. Dado un cliente con un 15 % en Herramienta eléctrica, cuando añado FR-0002 (69,95 €), entonces el precio aplicado es 59,46 € sin IVA.
2. Dado un cliente sin descuento en esa familia, cuando añado un producto, entonces se aplica el PVP normal.</t>
        </is>
      </c>
      <c r="G23" s="10" t="inlineStr">
        <is>
          <t>Should</t>
        </is>
      </c>
      <c r="H23" s="10" t="inlineStr">
        <is>
          <t>F1*</t>
        </is>
      </c>
      <c r="I23" s="10" t="inlineStr">
        <is>
          <t>RF-22</t>
        </is>
      </c>
      <c r="J23" s="10" t="inlineStr">
        <is>
          <t>Q-16</t>
        </is>
      </c>
      <c r="K23" s="10" t="inlineStr">
        <is>
          <t>Nuevo</t>
        </is>
      </c>
      <c r="L23" s="10" t="inlineStr">
        <is>
          <t>Pendiente</t>
        </is>
      </c>
    </row>
    <row r="24">
      <c r="A24" s="10" t="inlineStr">
        <is>
          <t>HU-23</t>
        </is>
      </c>
      <c r="B24" s="10" t="inlineStr">
        <is>
          <t>B. Venta en mostrador</t>
        </is>
      </c>
      <c r="C24" s="10" t="inlineStr">
        <is>
          <t>Dirección (Marisa)</t>
        </is>
      </c>
      <c r="D24" s="10" t="inlineStr">
        <is>
          <t>Quiero definir qué pasa al vender un producto sin stock</t>
        </is>
      </c>
      <c r="E24" s="10" t="inlineStr">
        <is>
          <t>Para evitar líos con clientes y no perder ventas</t>
        </is>
      </c>
      <c r="F24" s="10" t="inlineStr">
        <is>
          <t>1. Dado la política decidida por el cliente, cuando se intenta vender más unidades de las disponibles, entonces el sistema la aplica (permite, bloquea o pide autorización).
2. Dado que se permite, cuando se vende sin stock, entonces queda registrado y visible en el aviso de stock.</t>
        </is>
      </c>
      <c r="G24" s="10" t="inlineStr">
        <is>
          <t>Must</t>
        </is>
      </c>
      <c r="H24" s="10" t="inlineStr">
        <is>
          <t>F1</t>
        </is>
      </c>
      <c r="I24" s="10" t="inlineStr">
        <is>
          <t>RF-23</t>
        </is>
      </c>
      <c r="J24" s="10" t="inlineStr">
        <is>
          <t>Q-01 (bloqueante)</t>
        </is>
      </c>
      <c r="K24" s="10" t="inlineStr">
        <is>
          <t>Nuevo</t>
        </is>
      </c>
      <c r="L24" s="10" t="inlineStr">
        <is>
          <t>Pendiente</t>
        </is>
      </c>
    </row>
    <row r="25">
      <c r="A25" s="10" t="inlineStr">
        <is>
          <t>HU-24</t>
        </is>
      </c>
      <c r="B25" s="10" t="inlineStr">
        <is>
          <t>B. Venta en mostrador</t>
        </is>
      </c>
      <c r="C25" s="10" t="inlineStr">
        <is>
          <t>Personal de mostrador</t>
        </is>
      </c>
      <c r="D25" s="10" t="inlineStr">
        <is>
          <t>Quiero registrar una devolución o un abono de una venta</t>
        </is>
      </c>
      <c r="E25" s="10" t="inlineStr">
        <is>
          <t>Para sustituir el papel manual y dejar el stock y la factura correctos</t>
        </is>
      </c>
      <c r="F25" s="10" t="inlineStr">
        <is>
          <t>1. Dado una venta cobrada, cuando registro la devolución de una línea, entonces se genera el documento rectificativo y el stock de la ubicación aumenta.
2. Dado una devolución de más unidades de las vendidas, cuando intento confirmarla, entonces el sistema la rechaza.</t>
        </is>
      </c>
      <c r="G25" s="10" t="inlineStr">
        <is>
          <t>Must</t>
        </is>
      </c>
      <c r="H25" s="10" t="inlineStr">
        <is>
          <t>F1*</t>
        </is>
      </c>
      <c r="I25" s="10" t="inlineStr">
        <is>
          <t>RF-24, RF-06</t>
        </is>
      </c>
      <c r="J25" s="10" t="inlineStr">
        <is>
          <t>Q-07</t>
        </is>
      </c>
      <c r="K25" s="10" t="inlineStr">
        <is>
          <t>Nuevo</t>
        </is>
      </c>
      <c r="L25" s="10" t="inlineStr">
        <is>
          <t>Pendiente</t>
        </is>
      </c>
    </row>
    <row r="26">
      <c r="A26" s="10" t="inlineStr">
        <is>
          <t>HU-25</t>
        </is>
      </c>
      <c r="B26" s="10" t="inlineStr">
        <is>
          <t>B. Venta en mostrador</t>
        </is>
      </c>
      <c r="C26" s="10" t="inlineStr">
        <is>
          <t>Responsable de facturación y cobros (Lucía)</t>
        </is>
      </c>
      <c r="D26" s="10" t="inlineStr">
        <is>
          <t>Quiero crear presupuestos y convertirlos en pedido y en factura</t>
        </is>
      </c>
      <c r="E26" s="10" t="inlineStr">
        <is>
          <t>Para no volver a teclear los datos</t>
        </is>
      </c>
      <c r="F26" s="10" t="inlineStr">
        <is>
          <t>1. Dado un presupuesto aceptado, cuando lo convierto en factura, entonces las líneas, precios y descuentos pasan sin reintroducirse.
2. Dado un presupuesto ya convertido, cuando intento convertirlo otra vez, entonces el sistema lo impide.</t>
        </is>
      </c>
      <c r="G26" s="10" t="inlineStr">
        <is>
          <t>Should</t>
        </is>
      </c>
      <c r="H26" s="10" t="inlineStr">
        <is>
          <t>F2*</t>
        </is>
      </c>
      <c r="I26" s="10" t="inlineStr">
        <is>
          <t>RF-25</t>
        </is>
      </c>
      <c r="J26" s="10" t="inlineStr">
        <is>
          <t>—</t>
        </is>
      </c>
      <c r="K26" s="10" t="inlineStr">
        <is>
          <t>Nuevo</t>
        </is>
      </c>
      <c r="L26" s="10" t="inlineStr">
        <is>
          <t>Pendiente</t>
        </is>
      </c>
    </row>
    <row r="27">
      <c r="A27" s="10" t="inlineStr">
        <is>
          <t>HU-26</t>
        </is>
      </c>
      <c r="B27" s="10" t="inlineStr">
        <is>
          <t>C. Facturación</t>
        </is>
      </c>
      <c r="C27" s="10" t="inlineStr">
        <is>
          <t>Responsable de facturación y cobros (Lucía)</t>
        </is>
      </c>
      <c r="D27" s="10" t="inlineStr">
        <is>
          <t>Quiero emitir facturas conformes a Hacienda (Verifactu)</t>
        </is>
      </c>
      <c r="E27" s="10" t="inlineStr">
        <is>
          <t>Para cumplir la obligación legal sin riesgo de sanción</t>
        </is>
      </c>
      <c r="F27" s="10" t="inlineStr">
        <is>
          <t>1. Dado una factura emitida, entonces incluye número de serie correlativo, huella encadenada con la anterior y código QR conforme a la normativa.
2. Dado una factura emitida, cuando intento modificarla o borrarla, entonces el sistema lo impide y solo permite emitir una rectificativa.
3. Dado una incidencia en el envío (si la modalidad lo requiere), entonces queda registrada y se reintenta.</t>
        </is>
      </c>
      <c r="G27" s="10" t="inlineStr">
        <is>
          <t>Must</t>
        </is>
      </c>
      <c r="H27" s="10" t="inlineStr">
        <is>
          <t>F1</t>
        </is>
      </c>
      <c r="I27" s="10" t="inlineStr">
        <is>
          <t>RF-26, RNF-02</t>
        </is>
      </c>
      <c r="J27" s="10" t="inlineStr">
        <is>
          <t>Q-06</t>
        </is>
      </c>
      <c r="K27" s="10" t="inlineStr">
        <is>
          <t>Nuevo</t>
        </is>
      </c>
      <c r="L27" s="10" t="inlineStr">
        <is>
          <t>Pendiente</t>
        </is>
      </c>
    </row>
    <row r="28">
      <c r="A28" s="10" t="inlineStr">
        <is>
          <t>HU-27</t>
        </is>
      </c>
      <c r="B28" s="10" t="inlineStr">
        <is>
          <t>C. Facturación</t>
        </is>
      </c>
      <c r="C28" s="10" t="inlineStr">
        <is>
          <t>Responsable de facturación y cobros (Lucía)</t>
        </is>
      </c>
      <c r="D28" s="10" t="inlineStr">
        <is>
          <t>Quiero que la factura desglose el recargo de equivalencia a los clientes que lo tienen</t>
        </is>
      </c>
      <c r="E28" s="10" t="inlineStr">
        <is>
          <t>Para no calcularlo aparte</t>
        </is>
      </c>
      <c r="F28" s="10" t="inlineStr">
        <is>
          <t>1. Dado un cliente en recargo de equivalencia con una base de 100 € al 21 %, cuando emito la factura, entonces se muestra el IVA (21,00 €) y el recargo (5,20 € si el tipo es 5,2 %) y el total correcto.
2. Dado un cliente sin recargo, cuando emito la factura, entonces no aparece recargo.</t>
        </is>
      </c>
      <c r="G28" s="10" t="inlineStr">
        <is>
          <t>Must</t>
        </is>
      </c>
      <c r="H28" s="10" t="inlineStr">
        <is>
          <t>F1</t>
        </is>
      </c>
      <c r="I28" s="10" t="inlineStr">
        <is>
          <t>RF-27</t>
        </is>
      </c>
      <c r="J28" s="10" t="inlineStr">
        <is>
          <t>Q-08</t>
        </is>
      </c>
      <c r="K28" s="10" t="inlineStr">
        <is>
          <t>Nuevo</t>
        </is>
      </c>
      <c r="L28" s="10" t="inlineStr">
        <is>
          <t>Pendiente</t>
        </is>
      </c>
    </row>
    <row r="29">
      <c r="A29" s="10" t="inlineStr">
        <is>
          <t>HU-28</t>
        </is>
      </c>
      <c r="B29" s="10" t="inlineStr">
        <is>
          <t>C. Facturación</t>
        </is>
      </c>
      <c r="C29" s="10" t="inlineStr">
        <is>
          <t>Personal de mostrador</t>
        </is>
      </c>
      <c r="D29" s="10" t="inlineStr">
        <is>
          <t>Quiero que cada venta de mostrador genere su documento fiscal</t>
        </is>
      </c>
      <c r="E29" s="10" t="inlineStr">
        <is>
          <t>Para cumplir con Hacienda sin trabajo adicional</t>
        </is>
      </c>
      <c r="F29" s="10" t="inlineStr">
        <is>
          <t>1. Dado una venta cobrada, cuando se confirma, entonces se genera el documento fiscal con su numeración y se puede imprimir o enviar.</t>
        </is>
      </c>
      <c r="G29" s="10" t="inlineStr">
        <is>
          <t>Must</t>
        </is>
      </c>
      <c r="H29" s="10" t="inlineStr">
        <is>
          <t>F1</t>
        </is>
      </c>
      <c r="I29" s="10" t="inlineStr">
        <is>
          <t>RF-28</t>
        </is>
      </c>
      <c r="J29" s="10" t="inlineStr">
        <is>
          <t>Q-07</t>
        </is>
      </c>
      <c r="K29" s="10" t="inlineStr">
        <is>
          <t>Nuevo</t>
        </is>
      </c>
      <c r="L29" s="10" t="inlineStr">
        <is>
          <t>Pendiente</t>
        </is>
      </c>
    </row>
    <row r="30">
      <c r="A30" s="10" t="inlineStr">
        <is>
          <t>HU-29</t>
        </is>
      </c>
      <c r="B30" s="10" t="inlineStr">
        <is>
          <t>C. Facturación</t>
        </is>
      </c>
      <c r="C30" s="10" t="inlineStr">
        <is>
          <t>Responsable de facturación y cobros (Lucía)</t>
        </is>
      </c>
      <c r="D30" s="10" t="inlineStr">
        <is>
          <t>Quiero registrar los cobros de las facturas y ver las pendientes</t>
        </is>
      </c>
      <c r="E30" s="10" t="inlineStr">
        <is>
          <t>Para controlar lo que se debe</t>
        </is>
      </c>
      <c r="F30" s="10" t="inlineStr">
        <is>
          <t>1. Dado una factura de 100 €, cuando registro un cobro de 40 €, entonces quedan 60 € pendientes.
2. Dado un cobro superior al importe pendiente, cuando intento registrarlo, entonces el sistema lo rechaza.</t>
        </is>
      </c>
      <c r="G30" s="10" t="inlineStr">
        <is>
          <t>Should</t>
        </is>
      </c>
      <c r="H30" s="10" t="inlineStr">
        <is>
          <t>F1*</t>
        </is>
      </c>
      <c r="I30" s="10" t="inlineStr">
        <is>
          <t>RF-29</t>
        </is>
      </c>
      <c r="J30" s="10" t="inlineStr">
        <is>
          <t>Q-17</t>
        </is>
      </c>
      <c r="K30" s="10" t="inlineStr">
        <is>
          <t>Nuevo</t>
        </is>
      </c>
      <c r="L30" s="10" t="inlineStr">
        <is>
          <t>Pendiente</t>
        </is>
      </c>
    </row>
    <row r="31">
      <c r="A31" s="10" t="inlineStr">
        <is>
          <t>HU-30</t>
        </is>
      </c>
      <c r="B31" s="10" t="inlineStr">
        <is>
          <t>D. Compras y proveedores</t>
        </is>
      </c>
      <c r="C31" s="10" t="inlineStr">
        <is>
          <t>Responsable de almacén y compras (Javier)</t>
        </is>
      </c>
      <c r="D31" s="10" t="inlineStr">
        <is>
          <t>Quiero gestionar proveedores y asociarlos a los productos</t>
        </is>
      </c>
      <c r="E31" s="10" t="inlineStr">
        <is>
          <t>Para saber a quién se compra cada referencia</t>
        </is>
      </c>
      <c r="F31" s="10" t="inlineStr">
        <is>
          <t>1. Dado un proveedor nuevo, cuando lo creo, entonces puedo asignarlo a productos.
2. Dado un proveedor con productos, cuando intento borrarlo, entonces el sistema lo impide.</t>
        </is>
      </c>
      <c r="G31" s="10" t="inlineStr">
        <is>
          <t>Must</t>
        </is>
      </c>
      <c r="H31" s="10" t="inlineStr">
        <is>
          <t>F1</t>
        </is>
      </c>
      <c r="I31" s="10" t="inlineStr">
        <is>
          <t>RF-30</t>
        </is>
      </c>
      <c r="J31" s="10" t="inlineStr">
        <is>
          <t>—</t>
        </is>
      </c>
      <c r="K31" s="10" t="inlineStr">
        <is>
          <t>Nuevo</t>
        </is>
      </c>
      <c r="L31" s="10" t="inlineStr">
        <is>
          <t>Pendiente</t>
        </is>
      </c>
    </row>
    <row r="32">
      <c r="A32" s="10" t="inlineStr">
        <is>
          <t>HU-31</t>
        </is>
      </c>
      <c r="B32" s="10" t="inlineStr">
        <is>
          <t>D. Compras y proveedores</t>
        </is>
      </c>
      <c r="C32" s="10" t="inlineStr">
        <is>
          <t>Dirección (Marisa)</t>
        </is>
      </c>
      <c r="D32" s="10" t="inlineStr">
        <is>
          <t>Quiero revisar los pedidos propuestos a proveedor antes de que salgan</t>
        </is>
      </c>
      <c r="E32" s="10" t="inlineStr">
        <is>
          <t>Para evitar pedidos innecesarios</t>
        </is>
      </c>
      <c r="F32" s="10" t="inlineStr">
        <is>
          <t>1. Dado un producto bajo mínimo y no descatalogado, cuando se genera la propuesta, entonces aparece en un pedido en estado propuesto, agrupado por proveedor.
2. Dado un pedido propuesto, cuando no ha sido aprobado, entonces no se envía.
3. Dado un pedido aprobado, cuando se envía, entonces queda registrado quién lo aprobó.</t>
        </is>
      </c>
      <c r="G32" s="10" t="inlineStr">
        <is>
          <t>Should</t>
        </is>
      </c>
      <c r="H32" s="10" t="inlineStr">
        <is>
          <t>F1*</t>
        </is>
      </c>
      <c r="I32" s="10" t="inlineStr">
        <is>
          <t>RF-31, RF-10</t>
        </is>
      </c>
      <c r="J32" s="10" t="inlineStr">
        <is>
          <t>Q-02 (bloqueante)</t>
        </is>
      </c>
      <c r="K32" s="10" t="inlineStr">
        <is>
          <t>Nuevo</t>
        </is>
      </c>
      <c r="L32" s="10" t="inlineStr">
        <is>
          <t>Pendiente</t>
        </is>
      </c>
    </row>
    <row r="33">
      <c r="A33" s="10" t="inlineStr">
        <is>
          <t>HU-32</t>
        </is>
      </c>
      <c r="B33" s="10" t="inlineStr">
        <is>
          <t>D. Compras y proveedores</t>
        </is>
      </c>
      <c r="C33" s="10" t="inlineStr">
        <is>
          <t>Responsable de almacén y compras (Javier)</t>
        </is>
      </c>
      <c r="D33" s="10" t="inlineStr">
        <is>
          <t>Quiero registrar manualmente un albarán de proveedor</t>
        </is>
      </c>
      <c r="E33" s="10" t="inlineStr">
        <is>
          <t>Para dar entrada al género y actualizar el stock</t>
        </is>
      </c>
      <c r="F33" s="10" t="inlineStr">
        <is>
          <t>1. Dado un albarán con 3 líneas, cuando lo registro para la nave, entonces el stock de la nave aumenta en las cantidades recibidas.
2. Dado un producto inexistente en el albarán, cuando lo registro, entonces el sistema permite crear el producto o corregir la línea.</t>
        </is>
      </c>
      <c r="G33" s="10" t="inlineStr">
        <is>
          <t>Should</t>
        </is>
      </c>
      <c r="H33" s="10" t="inlineStr">
        <is>
          <t>F1*</t>
        </is>
      </c>
      <c r="I33" s="10" t="inlineStr">
        <is>
          <t>RF-32</t>
        </is>
      </c>
      <c r="J33" s="10" t="inlineStr">
        <is>
          <t>—</t>
        </is>
      </c>
      <c r="K33" s="10" t="inlineStr">
        <is>
          <t>Nuevo</t>
        </is>
      </c>
      <c r="L33" s="10" t="inlineStr">
        <is>
          <t>Pendiente</t>
        </is>
      </c>
    </row>
    <row r="34">
      <c r="A34" s="10" t="inlineStr">
        <is>
          <t>HU-33</t>
        </is>
      </c>
      <c r="B34" s="10" t="inlineStr">
        <is>
          <t>D. Compras y proveedores</t>
        </is>
      </c>
      <c r="C34" s="10" t="inlineStr">
        <is>
          <t>Responsable de almacén y compras (Javier)</t>
        </is>
      </c>
      <c r="D34" s="10" t="inlineStr">
        <is>
          <t>Quiero que los albaranes de proveedor recibidos en PDF se carguen solos</t>
        </is>
      </c>
      <c r="E34" s="10" t="inlineStr">
        <is>
          <t>Para no teclear 15-20 albaranes a la semana</t>
        </is>
      </c>
      <c r="F34" s="10" t="inlineStr">
        <is>
          <t>1. Dado un PDF de un proveedor conocido, cuando se recibe, entonces se crea un albarán en borrador con sus líneas.
2. Dado un PDF que no se puede interpretar, cuando se procesa, entonces queda en una bandeja de pendientes sin afectar al stock.
3. Dado un borrador, cuando lo valido, entonces se actualiza el stock; hasta entonces no.</t>
        </is>
      </c>
      <c r="G34" s="10" t="inlineStr">
        <is>
          <t>Should</t>
        </is>
      </c>
      <c r="H34" s="10" t="inlineStr">
        <is>
          <t>F2</t>
        </is>
      </c>
      <c r="I34" s="10" t="inlineStr">
        <is>
          <t>RF-33</t>
        </is>
      </c>
      <c r="J34" s="10" t="inlineStr">
        <is>
          <t>Q-12</t>
        </is>
      </c>
      <c r="K34" s="10" t="inlineStr">
        <is>
          <t>Nuevo</t>
        </is>
      </c>
      <c r="L34" s="10" t="inlineStr">
        <is>
          <t>Pendiente</t>
        </is>
      </c>
    </row>
    <row r="35">
      <c r="A35" s="10" t="inlineStr">
        <is>
          <t>HU-34</t>
        </is>
      </c>
      <c r="B35" s="10" t="inlineStr">
        <is>
          <t>D. Compras y proveedores</t>
        </is>
      </c>
      <c r="C35" s="10" t="inlineStr">
        <is>
          <t>Dirección (Marisa)</t>
        </is>
      </c>
      <c r="D35" s="10" t="inlineStr">
        <is>
          <t>Quiero consultar el historial de precios de compra por proveedor</t>
        </is>
      </c>
      <c r="E35" s="10" t="inlineStr">
        <is>
          <t>Para negociar con datos</t>
        </is>
      </c>
      <c r="F35" s="10" t="inlineStr">
        <is>
          <t>1. Dado un producto con varios precios de compra a lo largo del tiempo, cuando consulto su historial, entonces veo fecha, proveedor y precio.</t>
        </is>
      </c>
      <c r="G35" s="10" t="inlineStr">
        <is>
          <t>Should</t>
        </is>
      </c>
      <c r="H35" s="10" t="inlineStr">
        <is>
          <t>F2*</t>
        </is>
      </c>
      <c r="I35" s="10" t="inlineStr">
        <is>
          <t>RF-34</t>
        </is>
      </c>
      <c r="J35" s="10" t="inlineStr">
        <is>
          <t>—</t>
        </is>
      </c>
      <c r="K35" s="10" t="inlineStr">
        <is>
          <t>Nuevo</t>
        </is>
      </c>
      <c r="L35" s="10" t="inlineStr">
        <is>
          <t>Pendiente</t>
        </is>
      </c>
    </row>
    <row r="36">
      <c r="A36" s="10" t="inlineStr">
        <is>
          <t>HU-35</t>
        </is>
      </c>
      <c r="B36" s="10" t="inlineStr">
        <is>
          <t>E. Usuarios y permisos</t>
        </is>
      </c>
      <c r="C36" s="10" t="inlineStr">
        <is>
          <t>Usuario del sistema</t>
        </is>
      </c>
      <c r="D36" s="10" t="inlineStr">
        <is>
          <t>Quiero iniciar sesión con mi usuario</t>
        </is>
      </c>
      <c r="E36" s="10" t="inlineStr">
        <is>
          <t>Para que solo acceda quien debe</t>
        </is>
      </c>
      <c r="F36" s="10" t="inlineStr">
        <is>
          <t>1. Dado credenciales válidas, cuando inicio sesión, entonces accedo a las funciones de mi perfil.
2. Dado credenciales inválidas, cuando intento iniciar sesión, entonces se rechaza sin indicar cuál es el dato erróneo.
3. Dado un usuario sin sesión, cuando accede a cualquier función, entonces se le solicita iniciar sesión.</t>
        </is>
      </c>
      <c r="G36" s="10" t="inlineStr">
        <is>
          <t>Must</t>
        </is>
      </c>
      <c r="H36" s="10" t="inlineStr">
        <is>
          <t>F1</t>
        </is>
      </c>
      <c r="I36" s="10" t="inlineStr">
        <is>
          <t>RF-35, RNF-04</t>
        </is>
      </c>
      <c r="J36" s="10" t="inlineStr">
        <is>
          <t>Q-25</t>
        </is>
      </c>
      <c r="K36" s="10" t="inlineStr">
        <is>
          <t>Nuevo</t>
        </is>
      </c>
      <c r="L36" s="10" t="inlineStr">
        <is>
          <t>Pendiente</t>
        </is>
      </c>
    </row>
    <row r="37">
      <c r="A37" s="10" t="inlineStr">
        <is>
          <t>HU-36</t>
        </is>
      </c>
      <c r="B37" s="10" t="inlineStr">
        <is>
          <t>E. Usuarios y permisos</t>
        </is>
      </c>
      <c r="C37" s="10" t="inlineStr">
        <is>
          <t>Dirección (Marisa)</t>
        </is>
      </c>
      <c r="D37" s="10" t="inlineStr">
        <is>
          <t>Quiero asignar a cada usuario uno de los cuatro perfiles (Dirección, Almacén y compras, Facturación y cobros, Mostrador)</t>
        </is>
      </c>
      <c r="E37" s="10" t="inlineStr">
        <is>
          <t>Para que cada persona solo vea y haga lo suyo</t>
        </is>
      </c>
      <c r="F37" s="10" t="inlineStr">
        <is>
          <t>1. Dado un usuario con perfil Mostrador, cuando entra, entonces solo ve la venta.
2. Dado un perfil Almacén y compras, entonces accede a stock, compras y proveedores pero no a facturación ni descuentos.
3. Dado un perfil Facturación y cobros, entonces accede a facturas, cobros y descuentos.
4. Dado un perfil Dirección, entonces accede a todo.</t>
        </is>
      </c>
      <c r="G37" s="10" t="inlineStr">
        <is>
          <t>Must</t>
        </is>
      </c>
      <c r="H37" s="10" t="inlineStr">
        <is>
          <t>F1</t>
        </is>
      </c>
      <c r="I37" s="10" t="inlineStr">
        <is>
          <t>RF-36</t>
        </is>
      </c>
      <c r="J37" s="10" t="inlineStr">
        <is>
          <t>Q-25</t>
        </is>
      </c>
      <c r="K37" s="10" t="inlineStr">
        <is>
          <t>Nuevo</t>
        </is>
      </c>
      <c r="L37" s="10" t="inlineStr">
        <is>
          <t>Pendiente</t>
        </is>
      </c>
    </row>
    <row r="38">
      <c r="A38" s="10" t="inlineStr">
        <is>
          <t>HU-37</t>
        </is>
      </c>
      <c r="B38" s="10" t="inlineStr">
        <is>
          <t>F. Informes e integraciones</t>
        </is>
      </c>
      <c r="C38" s="10" t="inlineStr">
        <is>
          <t>Responsable de facturación y cobros (Lucía)</t>
        </is>
      </c>
      <c r="D38" s="10" t="inlineStr">
        <is>
          <t>Quiero exportar a Excel los listados e informes</t>
        </is>
      </c>
      <c r="E38" s="10" t="inlineStr">
        <is>
          <t>Para trabajar con los datos fuera de la aplicación</t>
        </is>
      </c>
      <c r="F38" s="10" t="inlineStr">
        <is>
          <t>1. Dado un listado en pantalla, cuando pulso exportar, entonces obtengo un .xlsx con las mismas columnas y filtros aplicados.
2. Dado un importe, cuando se exporta, entonces se mantiene como número con sus decimales.</t>
        </is>
      </c>
      <c r="G38" s="10" t="inlineStr">
        <is>
          <t>Should</t>
        </is>
      </c>
      <c r="H38" s="10" t="inlineStr">
        <is>
          <t>F1*</t>
        </is>
      </c>
      <c r="I38" s="10" t="inlineStr">
        <is>
          <t>RF-37</t>
        </is>
      </c>
      <c r="J38" s="10" t="inlineStr">
        <is>
          <t>Q-14</t>
        </is>
      </c>
      <c r="K38" s="10" t="inlineStr">
        <is>
          <t>Nuevo</t>
        </is>
      </c>
      <c r="L38" s="10" t="inlineStr">
        <is>
          <t>Pendiente</t>
        </is>
      </c>
    </row>
    <row r="39">
      <c r="A39" s="10" t="inlineStr">
        <is>
          <t>HU-38</t>
        </is>
      </c>
      <c r="B39" s="10" t="inlineStr">
        <is>
          <t>F. Informes e integraciones</t>
        </is>
      </c>
      <c r="C39" s="10" t="inlineStr">
        <is>
          <t>Responsable de facturación y cobros (Lucía)</t>
        </is>
      </c>
      <c r="D39" s="10" t="inlineStr">
        <is>
          <t>Quiero obtener el informe mensual de ventas por familia para el gestor</t>
        </is>
      </c>
      <c r="E39" s="10" t="inlineStr">
        <is>
          <t>Para dejar de montarlo a mano cada mes</t>
        </is>
      </c>
      <c r="F39" s="10" t="inlineStr">
        <is>
          <t>1. Dado un mes, cuando genero el informe, entonces muestra ventas por familia (base, IVA y total) y coincide con la suma de las facturas y tickets del mes.
2. Dado el informe, cuando lo exporto, entonces se descarga en Excel.</t>
        </is>
      </c>
      <c r="G39" s="10" t="inlineStr">
        <is>
          <t>Should</t>
        </is>
      </c>
      <c r="H39" s="10" t="inlineStr">
        <is>
          <t>F2</t>
        </is>
      </c>
      <c r="I39" s="10" t="inlineStr">
        <is>
          <t>RF-38</t>
        </is>
      </c>
      <c r="J39" s="10" t="inlineStr">
        <is>
          <t>Q-21</t>
        </is>
      </c>
      <c r="K39" s="10" t="inlineStr">
        <is>
          <t>Nuevo</t>
        </is>
      </c>
      <c r="L39" s="10" t="inlineStr">
        <is>
          <t>Pendiente</t>
        </is>
      </c>
    </row>
    <row r="40">
      <c r="A40" s="10" t="inlineStr">
        <is>
          <t>HU-39</t>
        </is>
      </c>
      <c r="B40" s="10" t="inlineStr">
        <is>
          <t>F. Informes e integraciones</t>
        </is>
      </c>
      <c r="C40" s="10" t="inlineStr">
        <is>
          <t>Dirección (Marisa)</t>
        </is>
      </c>
      <c r="D40" s="10" t="inlineStr">
        <is>
          <t>Quiero ver desde el móvil cuánto se ha vendido hoy</t>
        </is>
      </c>
      <c r="E40" s="10" t="inlineStr">
        <is>
          <t>Para no tener que llamar a la tienda</t>
        </is>
      </c>
      <c r="F40" s="10" t="inlineStr">
        <is>
          <t>1. Dado un móvil con acceso, cuando abro la consulta, entonces veo el total vendido hoy y su desglose por ubicación.
2. Dado un usuario sin perfil de Dirección, cuando intenta acceder, entonces se le deniega.</t>
        </is>
      </c>
      <c r="G40" s="10" t="inlineStr">
        <is>
          <t>Should</t>
        </is>
      </c>
      <c r="H40" s="10" t="inlineStr">
        <is>
          <t>F2*</t>
        </is>
      </c>
      <c r="I40" s="10" t="inlineStr">
        <is>
          <t>RF-39, RNF-08</t>
        </is>
      </c>
      <c r="J40" s="10" t="inlineStr">
        <is>
          <t>Q-04</t>
        </is>
      </c>
      <c r="K40" s="10" t="inlineStr">
        <is>
          <t>Nuevo</t>
        </is>
      </c>
      <c r="L40" s="10" t="inlineStr">
        <is>
          <t>Pendiente</t>
        </is>
      </c>
    </row>
    <row r="41">
      <c r="A41" s="10" t="inlineStr">
        <is>
          <t>HU-40</t>
        </is>
      </c>
      <c r="B41" s="10" t="inlineStr">
        <is>
          <t>F. Informes e integraciones</t>
        </is>
      </c>
      <c r="C41" s="10" t="inlineStr">
        <is>
          <t>Dirección (Marisa)</t>
        </is>
      </c>
      <c r="D41" s="10" t="inlineStr">
        <is>
          <t>Quiero que el stock de la tienda online Prestashop coincida con el de la tienda física</t>
        </is>
      </c>
      <c r="E41" s="10" t="inlineStr">
        <is>
          <t>Para no vender online lo que ya no hay</t>
        </is>
      </c>
      <c r="F41" s="10" t="inlineStr">
        <is>
          <t>1. Dado un cambio de stock en el sistema, cuando se sincroniza, entonces el producto en Prestashop refleja el nuevo stock.
2. Dado un fallo de conexión con Prestashop, entonces el sistema reintenta y no pierde el cambio.</t>
        </is>
      </c>
      <c r="G41" s="10" t="inlineStr">
        <is>
          <t>Could</t>
        </is>
      </c>
      <c r="H41" s="10" t="inlineStr">
        <is>
          <t>F2</t>
        </is>
      </c>
      <c r="I41" s="10" t="inlineStr">
        <is>
          <t>RF-40</t>
        </is>
      </c>
      <c r="J41" s="10" t="inlineStr">
        <is>
          <t>—</t>
        </is>
      </c>
      <c r="K41" s="10" t="inlineStr">
        <is>
          <t>Nuevo</t>
        </is>
      </c>
      <c r="L41" s="10" t="inlineStr">
        <is>
          <t>Pendiente</t>
        </is>
      </c>
    </row>
    <row r="42">
      <c r="A42" s="10" t="inlineStr">
        <is>
          <t>HU-41</t>
        </is>
      </c>
      <c r="B42" s="10" t="inlineStr">
        <is>
          <t>G. Operación y continuidad</t>
        </is>
      </c>
      <c r="C42" s="10" t="inlineStr">
        <is>
          <t>Personal de mostrador</t>
        </is>
      </c>
      <c r="D42" s="10" t="inlineStr">
        <is>
          <t>Quiero poder cobrar aunque se caiga internet</t>
        </is>
      </c>
      <c r="E42" s="10" t="inlineStr">
        <is>
          <t>Para no dejar de vender cuando falla la línea de la nave</t>
        </is>
      </c>
      <c r="F42" s="10" t="inlineStr">
        <is>
          <t>1. Dado que no hay conexión, cuando realizo y cobro una venta, entonces se registra localmente y se emite el documento fiscal.
2. Dado que se recupera la conexión, entonces las ventas pendientes se sincronizan sin duplicarse ni perderse.</t>
        </is>
      </c>
      <c r="G42" s="10" t="inlineStr">
        <is>
          <t>Must</t>
        </is>
      </c>
      <c r="H42" s="10" t="inlineStr">
        <is>
          <t>F1</t>
        </is>
      </c>
      <c r="I42" s="10" t="inlineStr">
        <is>
          <t>RNF-01</t>
        </is>
      </c>
      <c r="J42" s="10" t="inlineStr">
        <is>
          <t>Q-04, Q-05 (bloqueantes)</t>
        </is>
      </c>
      <c r="K42" s="10" t="inlineStr">
        <is>
          <t>Nuevo</t>
        </is>
      </c>
      <c r="L42" s="10" t="inlineStr">
        <is>
          <t>Pendiente</t>
        </is>
      </c>
    </row>
    <row r="43">
      <c r="A43" s="10" t="inlineStr">
        <is>
          <t>HU-42</t>
        </is>
      </c>
      <c r="B43" s="10" t="inlineStr">
        <is>
          <t>G. Operación y continuidad</t>
        </is>
      </c>
      <c r="C43" s="10" t="inlineStr">
        <is>
          <t>Dirección (Marisa)</t>
        </is>
      </c>
      <c r="D43" s="10" t="inlineStr">
        <is>
          <t>Quiero que se hagan copias de seguridad automáticas y se puedan restaurar</t>
        </is>
      </c>
      <c r="E43" s="10" t="inlineStr">
        <is>
          <t>Para que no vuelva a pasar lo de 2023</t>
        </is>
      </c>
      <c r="F43" s="10" t="inlineStr">
        <is>
          <t>1. Dado el calendario de copias acordado, cuando llega la hora, entonces se genera una copia sin intervención y queda constancia.
2. Dado una copia, cuando se restaura en una prueba, entonces los datos coinciden con los del momento de la copia.</t>
        </is>
      </c>
      <c r="G43" s="10" t="inlineStr">
        <is>
          <t>Must</t>
        </is>
      </c>
      <c r="H43" s="10" t="inlineStr">
        <is>
          <t>F1</t>
        </is>
      </c>
      <c r="I43" s="10" t="inlineStr">
        <is>
          <t>RNF-03</t>
        </is>
      </c>
      <c r="J43" s="10" t="inlineStr">
        <is>
          <t>Q-03</t>
        </is>
      </c>
      <c r="K43" s="10" t="inlineStr">
        <is>
          <t>Nuevo</t>
        </is>
      </c>
      <c r="L43" s="10" t="inlineStr">
        <is>
          <t>Pendiente</t>
        </is>
      </c>
    </row>
    <row r="44">
      <c r="A44" s="10" t="inlineStr">
        <is>
          <t>HU-43</t>
        </is>
      </c>
      <c r="B44" s="10" t="inlineStr">
        <is>
          <t>G. Operación y continuidad</t>
        </is>
      </c>
      <c r="C44" s="10" t="inlineStr">
        <is>
          <t>Dirección (Marisa)</t>
        </is>
      </c>
      <c r="D44" s="10" t="inlineStr">
        <is>
          <t>Quiero consultar un registro de quién hizo qué (ventas, descuentos, ajustes, devoluciones, facturas)</t>
        </is>
      </c>
      <c r="E44" s="10" t="inlineStr">
        <is>
          <t>Para tener trazabilidad ante errores o dudas</t>
        </is>
      </c>
      <c r="F44" s="10" t="inlineStr">
        <is>
          <t>1. Dado un ajuste de stock, cuando consulto el registro, entonces veo usuario, fecha, producto, cantidad y motivo.
2. Dado un registro de auditoría, cuando intento modificarlo desde la aplicación, entonces no es posible.</t>
        </is>
      </c>
      <c r="G44" s="10" t="inlineStr">
        <is>
          <t>Should</t>
        </is>
      </c>
      <c r="H44" s="10" t="inlineStr">
        <is>
          <t>F1*</t>
        </is>
      </c>
      <c r="I44" s="10" t="inlineStr">
        <is>
          <t>RNF-09</t>
        </is>
      </c>
      <c r="J44" s="10" t="inlineStr">
        <is>
          <t>—</t>
        </is>
      </c>
      <c r="K44" s="10" t="inlineStr">
        <is>
          <t>Nuevo</t>
        </is>
      </c>
      <c r="L44" s="10" t="inlineStr">
        <is>
          <t>Pendiente</t>
        </is>
      </c>
    </row>
    <row r="45">
      <c r="A45" s="10" t="inlineStr">
        <is>
          <t>HU-44</t>
        </is>
      </c>
      <c r="B45" s="10" t="inlineStr">
        <is>
          <t>H. Aparcadas</t>
        </is>
      </c>
      <c r="C45" s="10" t="inlineStr">
        <is>
          <t>Cliente de la tienda</t>
        </is>
      </c>
      <c r="D45" s="10" t="inlineStr">
        <is>
          <t>Quiero preguntar en la web si hay stock de un producto mediante un chat con IA</t>
        </is>
      </c>
      <c r="E45" s="10" t="inlineStr">
        <is>
          <t>Para saber si puedo comprarlo antes de ir</t>
        </is>
      </c>
      <c r="F45" s="10" t="inlineStr">
        <is>
          <t>1. Historia aparcada por acuerdo (correo 07/10/2026): no se desarrolla en la 1.ª fase; se retomará cuando el resto esté en marcha.</t>
        </is>
      </c>
      <c r="G45" s="10" t="inlineStr">
        <is>
          <t>Won't</t>
        </is>
      </c>
      <c r="H45" s="10" t="inlineStr">
        <is>
          <t>Aparcado</t>
        </is>
      </c>
      <c r="I45" s="10" t="inlineStr">
        <is>
          <t>RF-41</t>
        </is>
      </c>
      <c r="J45" s="10" t="inlineStr">
        <is>
          <t>Q-23</t>
        </is>
      </c>
      <c r="K45" s="10" t="inlineStr">
        <is>
          <t>Nuevo</t>
        </is>
      </c>
      <c r="L45" s="10" t="inlineStr">
        <is>
          <t>Pendiente</t>
        </is>
      </c>
    </row>
    <row r="46">
      <c r="A46" s="10" t="inlineStr">
        <is>
          <t>HU-45</t>
        </is>
      </c>
      <c r="B46" s="10" t="inlineStr">
        <is>
          <t>B. Venta en mostrador</t>
        </is>
      </c>
      <c r="C46" s="10" t="inlineStr">
        <is>
          <t>Responsable de facturación y cobros (Lucía)</t>
        </is>
      </c>
      <c r="D46" s="10" t="inlineStr">
        <is>
          <t>Quiero importar el listado de clientes (NIF, régimen de recargo de equivalencia y descuentos por familia) desde Excel/CSV</t>
        </is>
      </c>
      <c r="E46" s="10" t="inlineStr">
        <is>
          <t>Para no teclear a mano los clientes habituales ni los autónomos en recargo de equivalencia</t>
        </is>
      </c>
      <c r="F46" s="10" t="inlineStr">
        <is>
          <t>1. Dado un listado con NIF, régimen (RE sí/no) y descuento por familia, cuando lo importo, entonces se crean los clientes y se informa de cuántos se han creado y cuáles se han rechazado y por qué.
2. Dado un cliente marcado en recargo de equivalencia, cuando lo consulto, entonces figura con ese régimen y sus descuentos por familia.
3. Dado que importo dos veces el mismo listado, cuando termina la segunda, entonces no hay clientes duplicados por NIF.</t>
        </is>
      </c>
      <c r="G46" s="10" t="inlineStr">
        <is>
          <t>Should</t>
        </is>
      </c>
      <c r="H46" s="10" t="inlineStr">
        <is>
          <t>F1*</t>
        </is>
      </c>
      <c r="I46" s="10" t="inlineStr">
        <is>
          <t>RF-43, RF-21</t>
        </is>
      </c>
      <c r="J46" s="10" t="inlineStr">
        <is>
          <t>Q-08</t>
        </is>
      </c>
      <c r="K46" s="10" t="inlineStr">
        <is>
          <t>Nuevo</t>
        </is>
      </c>
      <c r="L46" s="10" t="inlineStr">
        <is>
          <t>Pendiente</t>
        </is>
      </c>
    </row>
  </sheetData>
  <autoFilter ref="A1:L46"/>
  <dataValidations count="1">
    <dataValidation sqref="L2:L46" showDropDown="0" showInputMessage="0" showErrorMessage="0" allowBlank="0" type="list">
      <formula1>"Pendiente,En curso,Hecha,Bloqueada"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70" customWidth="1" min="3" max="3"/>
    <col width="13" customWidth="1" min="4" max="4"/>
    <col width="11" customWidth="1" min="5" max="5"/>
    <col width="34" customWidth="1" min="6" max="6"/>
    <col width="14" customWidth="1" min="7" max="7"/>
    <col width="50" customWidth="1" min="8" max="8"/>
    <col width="14" customWidth="1" min="9" max="9"/>
  </cols>
  <sheetData>
    <row r="1">
      <c r="A1" s="9" t="inlineStr">
        <is>
          <t>ID</t>
        </is>
      </c>
      <c r="B1" s="9" t="inlineStr">
        <is>
          <t>Grupo</t>
        </is>
      </c>
      <c r="C1" s="9" t="inlineStr">
        <is>
          <t>Requisito</t>
        </is>
      </c>
      <c r="D1" s="9" t="inlineStr">
        <is>
          <t>Prioridad (MoSCoW)</t>
        </is>
      </c>
      <c r="E1" s="9" t="inlineStr">
        <is>
          <t>Fase</t>
        </is>
      </c>
      <c r="F1" s="9" t="inlineStr">
        <is>
          <t>Fuente</t>
        </is>
      </c>
      <c r="G1" s="9" t="inlineStr">
        <is>
          <t>Tipo</t>
        </is>
      </c>
      <c r="H1" s="9" t="inlineStr">
        <is>
          <t>Verificación</t>
        </is>
      </c>
      <c r="I1" s="9" t="inlineStr">
        <is>
          <t>Estado vs. proyecto actual</t>
        </is>
      </c>
    </row>
    <row r="2">
      <c r="A2" s="10" t="inlineStr">
        <is>
          <t>RF-01</t>
        </is>
      </c>
      <c r="B2" s="10" t="inlineStr">
        <is>
          <t>Catálogo y stock</t>
        </is>
      </c>
      <c r="C2" s="10" t="inlineStr">
        <is>
          <t>El sistema debe mantener el stock de cada producto por separado en la nave y en la tienda.</t>
        </is>
      </c>
      <c r="D2" s="10" t="inlineStr">
        <is>
          <t>Must</t>
        </is>
      </c>
      <c r="E2" s="10" t="inlineStr">
        <is>
          <t>F1</t>
        </is>
      </c>
      <c r="F2" s="10" t="inlineStr">
        <is>
          <t>COR; PET</t>
        </is>
      </c>
      <c r="G2" s="10" t="inlineStr">
        <is>
          <t>Explícito</t>
        </is>
      </c>
      <c r="H2" s="10" t="inlineStr">
        <is>
          <t>Una venta en la tienda no cambia el stock de la nave.</t>
        </is>
      </c>
      <c r="I2" s="10" t="inlineStr">
        <is>
          <t>Nuevo</t>
        </is>
      </c>
    </row>
    <row r="3">
      <c r="A3" s="10" t="inlineStr">
        <is>
          <t>RF-02</t>
        </is>
      </c>
      <c r="B3" s="10" t="inlineStr">
        <is>
          <t>Catálogo y stock</t>
        </is>
      </c>
      <c r="C3" s="10" t="inlineStr">
        <is>
          <t>El sistema debe mostrar en una sola pantalla el stock de ambas ubicaciones, con total y desglose.</t>
        </is>
      </c>
      <c r="D3" s="10" t="inlineStr">
        <is>
          <t>Must</t>
        </is>
      </c>
      <c r="E3" s="10" t="inlineStr">
        <is>
          <t>F1</t>
        </is>
      </c>
      <c r="F3" s="10" t="inlineStr">
        <is>
          <t>PET</t>
        </is>
      </c>
      <c r="G3" s="10" t="inlineStr">
        <is>
          <t>Explícito</t>
        </is>
      </c>
      <c r="H3" s="10" t="inlineStr">
        <is>
          <t>Pantalla con columnas Nave, Tienda y Total por producto.</t>
        </is>
      </c>
      <c r="I3" s="10" t="inlineStr">
        <is>
          <t>Nuevo</t>
        </is>
      </c>
    </row>
    <row r="4">
      <c r="A4" s="10" t="inlineStr">
        <is>
          <t>RF-03</t>
        </is>
      </c>
      <c r="B4" s="10" t="inlineStr">
        <is>
          <t>Catálogo y stock</t>
        </is>
      </c>
      <c r="C4" s="10" t="inlineStr">
        <is>
          <t>El sistema debe gestionar un catálogo con referencia, descripción, familia, proveedor, precio de compra, PVP sin IVA, stock, stock mínimo y observaciones.</t>
        </is>
      </c>
      <c r="D4" s="10" t="inlineStr">
        <is>
          <t>Must</t>
        </is>
      </c>
      <c r="E4" s="10" t="inlineStr">
        <is>
          <t>F1</t>
        </is>
      </c>
      <c r="F4" s="10" t="inlineStr">
        <is>
          <t>LIS</t>
        </is>
      </c>
      <c r="G4" s="10" t="inlineStr">
        <is>
          <t>Explícito</t>
        </is>
      </c>
      <c r="H4" s="10" t="inlineStr">
        <is>
          <t>Alta, edición y consulta de un producto con todos los campos.</t>
        </is>
      </c>
      <c r="I4" s="10" t="inlineStr">
        <is>
          <t>Nuevo</t>
        </is>
      </c>
    </row>
    <row r="5">
      <c r="A5" s="10" t="inlineStr">
        <is>
          <t>RF-04</t>
        </is>
      </c>
      <c r="B5" s="10" t="inlineStr">
        <is>
          <t>Catálogo y stock</t>
        </is>
      </c>
      <c r="C5" s="10" t="inlineStr">
        <is>
          <t>El sistema debe importar el listado de productos desde Excel/CSV (formato español: coma decimal, tildes) sin duplicar referencias.</t>
        </is>
      </c>
      <c r="D5" s="10" t="inlineStr">
        <is>
          <t>Must</t>
        </is>
      </c>
      <c r="E5" s="10" t="inlineStr">
        <is>
          <t>F1</t>
        </is>
      </c>
      <c r="F5" s="10" t="inlineStr">
        <is>
          <t>COR; LIS</t>
        </is>
      </c>
      <c r="G5" s="10" t="inlineStr">
        <is>
          <t>Supuesto</t>
        </is>
      </c>
      <c r="H5" s="10" t="inlineStr">
        <is>
          <t>Importar las 39 líneas de LIS dos veces deja 39 productos.</t>
        </is>
      </c>
      <c r="I5" s="10" t="inlineStr">
        <is>
          <t>Nuevo</t>
        </is>
      </c>
    </row>
    <row r="6">
      <c r="A6" s="10" t="inlineStr">
        <is>
          <t>RF-05</t>
        </is>
      </c>
      <c r="B6" s="10" t="inlineStr">
        <is>
          <t>Catálogo y stock</t>
        </is>
      </c>
      <c r="C6" s="10" t="inlineStr">
        <is>
          <t>El sistema debe asociar uno o varios códigos de barras a cada producto.</t>
        </is>
      </c>
      <c r="D6" s="10" t="inlineStr">
        <is>
          <t>Must</t>
        </is>
      </c>
      <c r="E6" s="10" t="inlineStr">
        <is>
          <t>F1</t>
        </is>
      </c>
      <c r="F6" s="10" t="inlineStr">
        <is>
          <t>COR; LIS (sin columna)</t>
        </is>
      </c>
      <c r="G6" s="10" t="inlineStr">
        <is>
          <t>Supuesto</t>
        </is>
      </c>
      <c r="H6" s="10" t="inlineStr">
        <is>
          <t>Un código no puede estar en dos productos.</t>
        </is>
      </c>
      <c r="I6" s="10" t="inlineStr">
        <is>
          <t>Nuevo</t>
        </is>
      </c>
    </row>
    <row r="7">
      <c r="A7" s="10" t="inlineStr">
        <is>
          <t>RF-06</t>
        </is>
      </c>
      <c r="B7" s="10" t="inlineStr">
        <is>
          <t>Catálogo y stock</t>
        </is>
      </c>
      <c r="C7" s="10" t="inlineStr">
        <is>
          <t>El sistema debe descontar el stock vendido de la ubicación de la venta y reponerlo en las devoluciones.</t>
        </is>
      </c>
      <c r="D7" s="10" t="inlineStr">
        <is>
          <t>Must</t>
        </is>
      </c>
      <c r="E7" s="10" t="inlineStr">
        <is>
          <t>F1</t>
        </is>
      </c>
      <c r="F7" s="10" t="inlineStr">
        <is>
          <t>COR</t>
        </is>
      </c>
      <c r="G7" s="10" t="inlineStr">
        <is>
          <t>Supuesto</t>
        </is>
      </c>
      <c r="H7" s="10" t="inlineStr">
        <is>
          <t>Vender 2 uds. reduce el stock en 2; devolverlas lo restaura.</t>
        </is>
      </c>
      <c r="I7" s="10" t="inlineStr">
        <is>
          <t>Nuevo</t>
        </is>
      </c>
    </row>
    <row r="8">
      <c r="A8" s="10" t="inlineStr">
        <is>
          <t>RF-07</t>
        </is>
      </c>
      <c r="B8" s="10" t="inlineStr">
        <is>
          <t>Catálogo y stock</t>
        </is>
      </c>
      <c r="C8" s="10" t="inlineStr">
        <is>
          <t>El sistema debe registrar entradas de mercancía y ajustes manuales de stock por ubicación con motivo, usuario y fecha.</t>
        </is>
      </c>
      <c r="D8" s="10" t="inlineStr">
        <is>
          <t>Must</t>
        </is>
      </c>
      <c r="E8" s="10" t="inlineStr">
        <is>
          <t>F1</t>
        </is>
      </c>
      <c r="F8" s="10" t="inlineStr">
        <is>
          <t>COR; LIS</t>
        </is>
      </c>
      <c r="G8" s="10" t="inlineStr">
        <is>
          <t>Supuesto</t>
        </is>
      </c>
      <c r="H8" s="10" t="inlineStr">
        <is>
          <t>Todo cambio de stock deja un movimiento consultable.</t>
        </is>
      </c>
      <c r="I8" s="10" t="inlineStr">
        <is>
          <t>Nuevo</t>
        </is>
      </c>
    </row>
    <row r="9">
      <c r="A9" s="10" t="inlineStr">
        <is>
          <t>RF-08</t>
        </is>
      </c>
      <c r="B9" s="10" t="inlineStr">
        <is>
          <t>Catálogo y stock</t>
        </is>
      </c>
      <c r="C9" s="10" t="inlineStr">
        <is>
          <t>El sistema debe traspasar unidades de un producto entre nave y tienda.</t>
        </is>
      </c>
      <c r="D9" s="10" t="inlineStr">
        <is>
          <t>Should</t>
        </is>
      </c>
      <c r="E9" s="10" t="inlineStr">
        <is>
          <t>F1*</t>
        </is>
      </c>
      <c r="F9" s="10" t="inlineStr">
        <is>
          <t>PET</t>
        </is>
      </c>
      <c r="G9" s="10" t="inlineStr">
        <is>
          <t>Supuesto</t>
        </is>
      </c>
      <c r="H9" s="10" t="inlineStr">
        <is>
          <t>Un traspaso resta en origen y suma en destino en una sola operación.</t>
        </is>
      </c>
      <c r="I9" s="10" t="inlineStr">
        <is>
          <t>Nuevo</t>
        </is>
      </c>
    </row>
    <row r="10">
      <c r="A10" s="10" t="inlineStr">
        <is>
          <t>RF-09</t>
        </is>
      </c>
      <c r="B10" s="10" t="inlineStr">
        <is>
          <t>Catálogo y stock</t>
        </is>
      </c>
      <c r="C10" s="10" t="inlineStr">
        <is>
          <t>El sistema debe avisar en la pantalla principal de los productos con stock inferior al mínimo (correo opcional, Q-13).</t>
        </is>
      </c>
      <c r="D10" s="10" t="inlineStr">
        <is>
          <t>Should</t>
        </is>
      </c>
      <c r="E10" s="10" t="inlineStr">
        <is>
          <t>F1*</t>
        </is>
      </c>
      <c r="F10" s="10" t="inlineStr">
        <is>
          <t>PET (Javier)</t>
        </is>
      </c>
      <c r="G10" s="10" t="inlineStr">
        <is>
          <t>Explícito</t>
        </is>
      </c>
      <c r="H10" s="10" t="inlineStr">
        <is>
          <t>Con los datos de LIS aparecen FR-0024, FR-0033 y FR-0053.</t>
        </is>
      </c>
      <c r="I10" s="10" t="inlineStr">
        <is>
          <t>Nuevo</t>
        </is>
      </c>
    </row>
    <row r="11">
      <c r="A11" s="10" t="inlineStr">
        <is>
          <t>RF-10</t>
        </is>
      </c>
      <c r="B11" s="10" t="inlineStr">
        <is>
          <t>Catálogo y stock</t>
        </is>
      </c>
      <c r="C11" s="10" t="inlineStr">
        <is>
          <t>El sistema debe marcar productos como descatalogados y excluirlos de avisos y pedidos.</t>
        </is>
      </c>
      <c r="D11" s="10" t="inlineStr">
        <is>
          <t>Should</t>
        </is>
      </c>
      <c r="E11" s="10" t="inlineStr">
        <is>
          <t>F1*</t>
        </is>
      </c>
      <c r="F11" s="10" t="inlineStr">
        <is>
          <t>LIS (FR-0080)</t>
        </is>
      </c>
      <c r="G11" s="10" t="inlineStr">
        <is>
          <t>Supuesto</t>
        </is>
      </c>
      <c r="H11" s="10" t="inlineStr">
        <is>
          <t>FR-0080 marcado no genera aviso ni propuesta de pedido.</t>
        </is>
      </c>
      <c r="I11" s="10" t="inlineStr">
        <is>
          <t>Nuevo</t>
        </is>
      </c>
    </row>
    <row r="12">
      <c r="A12" s="10" t="inlineStr">
        <is>
          <t>RF-11</t>
        </is>
      </c>
      <c r="B12" s="10" t="inlineStr">
        <is>
          <t>Catálogo y stock</t>
        </is>
      </c>
      <c r="C12" s="10" t="inlineStr">
        <is>
          <t>El sistema debe listar los productos sin ventas en los últimos seis meses.</t>
        </is>
      </c>
      <c r="D12" s="10" t="inlineStr">
        <is>
          <t>Could</t>
        </is>
      </c>
      <c r="E12" s="10" t="inlineStr">
        <is>
          <t>F2*</t>
        </is>
      </c>
      <c r="F12" s="10" t="inlineStr">
        <is>
          <t>PET</t>
        </is>
      </c>
      <c r="G12" s="10" t="inlineStr">
        <is>
          <t>Explícito</t>
        </is>
      </c>
      <c r="H12" s="10" t="inlineStr">
        <is>
          <t>Listado filtrable por ubicación y familia.</t>
        </is>
      </c>
      <c r="I12" s="10" t="inlineStr">
        <is>
          <t>Nuevo</t>
        </is>
      </c>
    </row>
    <row r="13">
      <c r="A13" s="10" t="inlineStr">
        <is>
          <t>RF-12</t>
        </is>
      </c>
      <c r="B13" s="10" t="inlineStr">
        <is>
          <t>Catálogo y stock</t>
        </is>
      </c>
      <c r="C13" s="10" t="inlineStr">
        <is>
          <t>El sistema debe asociar una foto a cada producto y mostrarla en la ficha y en la venta.</t>
        </is>
      </c>
      <c r="D13" s="10" t="inlineStr">
        <is>
          <t>Should</t>
        </is>
      </c>
      <c r="E13" s="10" t="inlineStr">
        <is>
          <t>F1*</t>
        </is>
      </c>
      <c r="F13" s="10" t="inlineStr">
        <is>
          <t>PET</t>
        </is>
      </c>
      <c r="G13" s="10" t="inlineStr">
        <is>
          <t>Explícito</t>
        </is>
      </c>
      <c r="H13" s="10" t="inlineStr">
        <is>
          <t>La foto aparece al añadir el producto a una venta.</t>
        </is>
      </c>
      <c r="I13" s="10" t="inlineStr">
        <is>
          <t>Nuevo</t>
        </is>
      </c>
    </row>
    <row r="14">
      <c r="A14" s="10" t="inlineStr">
        <is>
          <t>RF-13</t>
        </is>
      </c>
      <c r="B14" s="10" t="inlineStr">
        <is>
          <t>Catálogo y stock</t>
        </is>
      </c>
      <c r="C14" s="10" t="inlineStr">
        <is>
          <t>El sistema debe dar de alta un producto desde el móvil con datos mínimos (referencia, descripción, familia, foto).</t>
        </is>
      </c>
      <c r="D14" s="10" t="inlineStr">
        <is>
          <t>Could</t>
        </is>
      </c>
      <c r="E14" s="10" t="inlineStr">
        <is>
          <t>F2*</t>
        </is>
      </c>
      <c r="F14" s="10" t="inlineStr">
        <is>
          <t>PET</t>
        </is>
      </c>
      <c r="G14" s="10" t="inlineStr">
        <is>
          <t>Explícito</t>
        </is>
      </c>
      <c r="H14" s="10" t="inlineStr">
        <is>
          <t>Alta completa desde un navegador de móvil.</t>
        </is>
      </c>
      <c r="I14" s="10" t="inlineStr">
        <is>
          <t>Nuevo</t>
        </is>
      </c>
    </row>
    <row r="15">
      <c r="A15" s="10" t="inlineStr">
        <is>
          <t>RF-14</t>
        </is>
      </c>
      <c r="B15" s="10" t="inlineStr">
        <is>
          <t>Catálogo y stock</t>
        </is>
      </c>
      <c r="C15" s="10" t="inlineStr">
        <is>
          <t>El sistema debe imprimir etiquetas de estantería con precio y código de barras.</t>
        </is>
      </c>
      <c r="D15" s="10" t="inlineStr">
        <is>
          <t>Could</t>
        </is>
      </c>
      <c r="E15" s="10" t="inlineStr">
        <is>
          <t>F2*</t>
        </is>
      </c>
      <c r="F15" s="10" t="inlineStr">
        <is>
          <t>PET</t>
        </is>
      </c>
      <c r="G15" s="10" t="inlineStr">
        <is>
          <t>Explícito</t>
        </is>
      </c>
      <c r="H15" s="10" t="inlineStr">
        <is>
          <t>Etiqueta con precio y código legible por la pistola.</t>
        </is>
      </c>
      <c r="I15" s="10" t="inlineStr">
        <is>
          <t>Nuevo</t>
        </is>
      </c>
    </row>
    <row r="16">
      <c r="A16" s="10" t="inlineStr">
        <is>
          <t>RF-43</t>
        </is>
      </c>
      <c r="B16" s="10" t="inlineStr">
        <is>
          <t>Catálogo y stock</t>
        </is>
      </c>
      <c r="C16" s="10" t="inlineStr">
        <is>
          <t>El sistema debe importar el listado de clientes (NIF, régimen de recargo de equivalencia, descuentos por familia) desde Excel/CSV.</t>
        </is>
      </c>
      <c r="D16" s="10" t="inlineStr">
        <is>
          <t>Should</t>
        </is>
      </c>
      <c r="E16" s="10" t="inlineStr">
        <is>
          <t>F1*</t>
        </is>
      </c>
      <c r="F16" s="10" t="inlineStr">
        <is>
          <t>COR (listado RE pendiente de entrega); PET</t>
        </is>
      </c>
      <c r="G16" s="10" t="inlineStr">
        <is>
          <t>Supuesto</t>
        </is>
      </c>
      <c r="H16" s="10" t="inlineStr">
        <is>
          <t>Importar el listado deja cada cliente con su régimen y descuentos.</t>
        </is>
      </c>
      <c r="I16" s="10" t="inlineStr">
        <is>
          <t>Nuevo</t>
        </is>
      </c>
    </row>
    <row r="17">
      <c r="A17" s="10" t="inlineStr">
        <is>
          <t>RF-15</t>
        </is>
      </c>
      <c r="B17" s="10" t="inlineStr">
        <is>
          <t>Venta en mostrador</t>
        </is>
      </c>
      <c r="C17" s="10" t="inlineStr">
        <is>
          <t>El sistema debe añadir a la venta el producto leído con la pistola USB (modo teclado) e incrementar la cantidad si se lee de nuevo.</t>
        </is>
      </c>
      <c r="D17" s="10" t="inlineStr">
        <is>
          <t>Must</t>
        </is>
      </c>
      <c r="E17" s="10" t="inlineStr">
        <is>
          <t>F1</t>
        </is>
      </c>
      <c r="F17" s="10" t="inlineStr">
        <is>
          <t>COR; PET</t>
        </is>
      </c>
      <c r="G17" s="10" t="inlineStr">
        <is>
          <t>Explícito</t>
        </is>
      </c>
      <c r="H17" s="10" t="inlineStr">
        <is>
          <t>Dos lecturas del mismo código dan cantidad 2 sin tocar el ratón.</t>
        </is>
      </c>
      <c r="I17" s="10" t="inlineStr">
        <is>
          <t>Nuevo</t>
        </is>
      </c>
    </row>
    <row r="18">
      <c r="A18" s="10" t="inlineStr">
        <is>
          <t>RF-16</t>
        </is>
      </c>
      <c r="B18" s="10" t="inlineStr">
        <is>
          <t>Venta en mostrador</t>
        </is>
      </c>
      <c r="C18" s="10" t="inlineStr">
        <is>
          <t>El sistema debe permitir añadir productos buscando por referencia o descripción.</t>
        </is>
      </c>
      <c r="D18" s="10" t="inlineStr">
        <is>
          <t>Must</t>
        </is>
      </c>
      <c r="E18" s="10" t="inlineStr">
        <is>
          <t>F1</t>
        </is>
      </c>
      <c r="F18" s="10" t="inlineStr">
        <is>
          <t>COR</t>
        </is>
      </c>
      <c r="G18" s="10" t="inlineStr">
        <is>
          <t>Supuesto</t>
        </is>
      </c>
      <c r="H18" s="10" t="inlineStr">
        <is>
          <t>Búsqueda parcial devuelve resultados al teclear.</t>
        </is>
      </c>
      <c r="I18" s="10" t="inlineStr">
        <is>
          <t>Nuevo</t>
        </is>
      </c>
    </row>
    <row r="19">
      <c r="A19" s="10" t="inlineStr">
        <is>
          <t>RF-17</t>
        </is>
      </c>
      <c r="B19" s="10" t="inlineStr">
        <is>
          <t>Venta en mostrador</t>
        </is>
      </c>
      <c r="C19" s="10" t="inlineStr">
        <is>
          <t>El sistema debe permitir cobrar una venta típica con el menor número de pasos; objetivo propuesto: como máximo 3 interacciones desde el último artículo hasta el cobro (Q-15).</t>
        </is>
      </c>
      <c r="D19" s="10" t="inlineStr">
        <is>
          <t>Must</t>
        </is>
      </c>
      <c r="E19" s="10" t="inlineStr">
        <is>
          <t>F1</t>
        </is>
      </c>
      <c r="F19" s="10" t="inlineStr">
        <is>
          <t>PET</t>
        </is>
      </c>
      <c r="G19" s="10" t="inlineStr">
        <is>
          <t>Explícito (objetivo: Supuesto)</t>
        </is>
      </c>
      <c r="H19" s="10" t="inlineStr">
        <is>
          <t>Prueba cronometrada con el personal de mostrador.</t>
        </is>
      </c>
      <c r="I19" s="10" t="inlineStr">
        <is>
          <t>Nuevo</t>
        </is>
      </c>
    </row>
    <row r="20">
      <c r="A20" s="10" t="inlineStr">
        <is>
          <t>RF-18</t>
        </is>
      </c>
      <c r="B20" s="10" t="inlineStr">
        <is>
          <t>Venta en mostrador</t>
        </is>
      </c>
      <c r="C20" s="10" t="inlineStr">
        <is>
          <t>El sistema debe ofrecer una pantalla de venta con controles de tamaño táctil.</t>
        </is>
      </c>
      <c r="D20" s="10" t="inlineStr">
        <is>
          <t>Could</t>
        </is>
      </c>
      <c r="E20" s="10" t="inlineStr">
        <is>
          <t>F1*</t>
        </is>
      </c>
      <c r="F20" s="10" t="inlineStr">
        <is>
          <t>PET</t>
        </is>
      </c>
      <c r="G20" s="10" t="inlineStr">
        <is>
          <t>Explícito</t>
        </is>
      </c>
      <c r="H20" s="10" t="inlineStr">
        <is>
          <t>Botones principales de al menos 44 px.</t>
        </is>
      </c>
      <c r="I20" s="10" t="inlineStr">
        <is>
          <t>Nuevo</t>
        </is>
      </c>
    </row>
    <row r="21">
      <c r="A21" s="10" t="inlineStr">
        <is>
          <t>RF-19</t>
        </is>
      </c>
      <c r="B21" s="10" t="inlineStr">
        <is>
          <t>Venta en mostrador</t>
        </is>
      </c>
      <c r="C21" s="10" t="inlineStr">
        <is>
          <t>El sistema debe aplicar descuentos a una línea o al total de la venta.</t>
        </is>
      </c>
      <c r="D21" s="10" t="inlineStr">
        <is>
          <t>Must</t>
        </is>
      </c>
      <c r="E21" s="10" t="inlineStr">
        <is>
          <t>F1</t>
        </is>
      </c>
      <c r="F21" s="10" t="inlineStr">
        <is>
          <t>COR; PET</t>
        </is>
      </c>
      <c r="G21" s="10" t="inlineStr">
        <is>
          <t>Explícito</t>
        </is>
      </c>
      <c r="H21" s="10" t="inlineStr">
        <is>
          <t>El descuento queda reflejado en línea, ticket y factura.</t>
        </is>
      </c>
      <c r="I21" s="10" t="inlineStr">
        <is>
          <t>Nuevo</t>
        </is>
      </c>
    </row>
    <row r="22">
      <c r="A22" s="10" t="inlineStr">
        <is>
          <t>RF-20</t>
        </is>
      </c>
      <c r="B22" s="10" t="inlineStr">
        <is>
          <t>Venta en mostrador</t>
        </is>
      </c>
      <c r="C22" s="10" t="inlineStr">
        <is>
          <t>El sistema debe permitir aplicar y modificar descuentos solo a Dirección y Facturación.</t>
        </is>
      </c>
      <c r="D22" s="10" t="inlineStr">
        <is>
          <t>Must</t>
        </is>
      </c>
      <c r="E22" s="10" t="inlineStr">
        <is>
          <t>F1</t>
        </is>
      </c>
      <c r="F22" s="10" t="inlineStr">
        <is>
          <t>COR; PET</t>
        </is>
      </c>
      <c r="G22" s="10" t="inlineStr">
        <is>
          <t>Explícito</t>
        </is>
      </c>
      <c r="H22" s="10" t="inlineStr">
        <is>
          <t>Un usuario de Mostrador recibe rechazo del servidor (no solo opción oculta).</t>
        </is>
      </c>
      <c r="I22" s="10" t="inlineStr">
        <is>
          <t>Nuevo</t>
        </is>
      </c>
    </row>
    <row r="23">
      <c r="A23" s="10" t="inlineStr">
        <is>
          <t>RF-21</t>
        </is>
      </c>
      <c r="B23" s="10" t="inlineStr">
        <is>
          <t>Venta en mostrador</t>
        </is>
      </c>
      <c r="C23" s="10" t="inlineStr">
        <is>
          <t>El sistema debe gestionar clientes con datos fiscales, régimen de recargo de equivalencia (sí/no) y descuentos asociados.</t>
        </is>
      </c>
      <c r="D23" s="10" t="inlineStr">
        <is>
          <t>Must</t>
        </is>
      </c>
      <c r="E23" s="10" t="inlineStr">
        <is>
          <t>F1</t>
        </is>
      </c>
      <c r="F23" s="10" t="inlineStr">
        <is>
          <t>PET; COR</t>
        </is>
      </c>
      <c r="G23" s="10" t="inlineStr">
        <is>
          <t>Supuesto</t>
        </is>
      </c>
      <c r="H23" s="10" t="inlineStr">
        <is>
          <t>Alta de un cliente en RE y consulta de su régimen.</t>
        </is>
      </c>
      <c r="I23" s="10" t="inlineStr">
        <is>
          <t>Nuevo</t>
        </is>
      </c>
    </row>
    <row r="24">
      <c r="A24" s="10" t="inlineStr">
        <is>
          <t>RF-22</t>
        </is>
      </c>
      <c r="B24" s="10" t="inlineStr">
        <is>
          <t>Venta en mostrador</t>
        </is>
      </c>
      <c r="C24" s="10" t="inlineStr">
        <is>
          <t>El sistema debe aplicar al seleccionar un cliente su descuento por familia (hoy 10–15 %).</t>
        </is>
      </c>
      <c r="D24" s="10" t="inlineStr">
        <is>
          <t>Should</t>
        </is>
      </c>
      <c r="E24" s="10" t="inlineStr">
        <is>
          <t>F1*</t>
        </is>
      </c>
      <c r="F24" s="10" t="inlineStr">
        <is>
          <t>PET</t>
        </is>
      </c>
      <c r="G24" s="10" t="inlineStr">
        <is>
          <t>Explícito</t>
        </is>
      </c>
      <c r="H24" s="10" t="inlineStr">
        <is>
          <t>Un cliente con 10 % en Química lo recibe solo en esa familia.</t>
        </is>
      </c>
      <c r="I24" s="10" t="inlineStr">
        <is>
          <t>Nuevo</t>
        </is>
      </c>
    </row>
    <row r="25">
      <c r="A25" s="10" t="inlineStr">
        <is>
          <t>RF-23</t>
        </is>
      </c>
      <c r="B25" s="10" t="inlineStr">
        <is>
          <t>Venta en mostrador</t>
        </is>
      </c>
      <c r="C25" s="10" t="inlineStr">
        <is>
          <t>El sistema debe aplicar la política de venta sin stock que decida el cliente (permitir, bloquear o permitir con autorización). Pendiente de decisión (Q-01).</t>
        </is>
      </c>
      <c r="D25" s="10" t="inlineStr">
        <is>
          <t>Must</t>
        </is>
      </c>
      <c r="E25" s="10" t="inlineStr">
        <is>
          <t>F1</t>
        </is>
      </c>
      <c r="F25" s="10" t="inlineStr">
        <is>
          <t>COR; PET</t>
        </is>
      </c>
      <c r="G25" s="10" t="inlineStr">
        <is>
          <t>Explícito</t>
        </is>
      </c>
      <c r="H25" s="10" t="inlineStr">
        <is>
          <t>Según la política elegida, la venta de un producto con stock 0 se completa, se bloquea o pide autorización.</t>
        </is>
      </c>
      <c r="I25" s="10" t="inlineStr">
        <is>
          <t>Nuevo</t>
        </is>
      </c>
    </row>
    <row r="26">
      <c r="A26" s="10" t="inlineStr">
        <is>
          <t>RF-24</t>
        </is>
      </c>
      <c r="B26" s="10" t="inlineStr">
        <is>
          <t>Venta en mostrador</t>
        </is>
      </c>
      <c r="C26" s="10" t="inlineStr">
        <is>
          <t>El sistema debe registrar devoluciones y abonos generando el documento rectificativo y reponiendo el stock.</t>
        </is>
      </c>
      <c r="D26" s="10" t="inlineStr">
        <is>
          <t>Must</t>
        </is>
      </c>
      <c r="E26" s="10" t="inlineStr">
        <is>
          <t>F1*</t>
        </is>
      </c>
      <c r="F26" s="10" t="inlineStr">
        <is>
          <t>PET; COR</t>
        </is>
      </c>
      <c r="G26" s="10" t="inlineStr">
        <is>
          <t>Explícito</t>
        </is>
      </c>
      <c r="H26" s="10" t="inlineStr">
        <is>
          <t>Una devolución parcial genera abono y suma stock.</t>
        </is>
      </c>
      <c r="I26" s="10" t="inlineStr">
        <is>
          <t>Nuevo</t>
        </is>
      </c>
    </row>
    <row r="27">
      <c r="A27" s="10" t="inlineStr">
        <is>
          <t>RF-25</t>
        </is>
      </c>
      <c r="B27" s="10" t="inlineStr">
        <is>
          <t>Venta en mostrador</t>
        </is>
      </c>
      <c r="C27" s="10" t="inlineStr">
        <is>
          <t>El sistema debe crear presupuestos y convertirlos en pedido y en factura sin reintroducir datos.</t>
        </is>
      </c>
      <c r="D27" s="10" t="inlineStr">
        <is>
          <t>Should</t>
        </is>
      </c>
      <c r="E27" s="10" t="inlineStr">
        <is>
          <t>F2*</t>
        </is>
      </c>
      <c r="F27" s="10" t="inlineStr">
        <is>
          <t>PET</t>
        </is>
      </c>
      <c r="G27" s="10" t="inlineStr">
        <is>
          <t>Explícito</t>
        </is>
      </c>
      <c r="H27" s="10" t="inlineStr">
        <is>
          <t>La factura resultante coincide línea a línea con el presupuesto.</t>
        </is>
      </c>
      <c r="I27" s="10" t="inlineStr">
        <is>
          <t>Nuevo</t>
        </is>
      </c>
    </row>
    <row r="28">
      <c r="A28" s="10" t="inlineStr">
        <is>
          <t>RF-26</t>
        </is>
      </c>
      <c r="B28" s="10" t="inlineStr">
        <is>
          <t>Facturación</t>
        </is>
      </c>
      <c r="C28" s="10" t="inlineStr">
        <is>
          <t>El sistema debe emitir facturas conforme a los requisitos de Hacienda (Verifactu).</t>
        </is>
      </c>
      <c r="D28" s="10" t="inlineStr">
        <is>
          <t>Must</t>
        </is>
      </c>
      <c r="E28" s="10" t="inlineStr">
        <is>
          <t>F1</t>
        </is>
      </c>
      <c r="F28" s="10" t="inlineStr">
        <is>
          <t>COR; PET (obligatorio)</t>
        </is>
      </c>
      <c r="G28" s="10" t="inlineStr">
        <is>
          <t>Explícito</t>
        </is>
      </c>
      <c r="H28" s="10" t="inlineStr">
        <is>
          <t>Cumple la lista de comprobación Verifactu validada con el gestor (R-01).</t>
        </is>
      </c>
      <c r="I28" s="10" t="inlineStr">
        <is>
          <t>Nuevo</t>
        </is>
      </c>
    </row>
    <row r="29">
      <c r="A29" s="10" t="inlineStr">
        <is>
          <t>RF-27</t>
        </is>
      </c>
      <c r="B29" s="10" t="inlineStr">
        <is>
          <t>Facturación</t>
        </is>
      </c>
      <c r="C29" s="10" t="inlineStr">
        <is>
          <t>El sistema debe calcular y desglosar el recargo de equivalencia en facturas de clientes en ese régimen.</t>
        </is>
      </c>
      <c r="D29" s="10" t="inlineStr">
        <is>
          <t>Must</t>
        </is>
      </c>
      <c r="E29" s="10" t="inlineStr">
        <is>
          <t>F1</t>
        </is>
      </c>
      <c r="F29" s="10" t="inlineStr">
        <is>
          <t>PET; COR</t>
        </is>
      </c>
      <c r="G29" s="10" t="inlineStr">
        <is>
          <t>Explícito</t>
        </is>
      </c>
      <c r="H29" s="10" t="inlineStr">
        <is>
          <t>Una factura de cliente en RE muestra base, IVA y recargo; el importe coincide con el cálculo manual de Lucía.</t>
        </is>
      </c>
      <c r="I29" s="10" t="inlineStr">
        <is>
          <t>Nuevo</t>
        </is>
      </c>
    </row>
    <row r="30">
      <c r="A30" s="10" t="inlineStr">
        <is>
          <t>RF-28</t>
        </is>
      </c>
      <c r="B30" s="10" t="inlineStr">
        <is>
          <t>Facturación</t>
        </is>
      </c>
      <c r="C30" s="10" t="inlineStr">
        <is>
          <t>El sistema debe generar para cada venta de mostrador el documento fiscal que corresponda (p. ej. factura simplificada). Tipo pendiente (Q-07).</t>
        </is>
      </c>
      <c r="D30" s="10" t="inlineStr">
        <is>
          <t>Must</t>
        </is>
      </c>
      <c r="E30" s="10" t="inlineStr">
        <is>
          <t>F1</t>
        </is>
      </c>
      <c r="F30" s="10" t="inlineStr">
        <is>
          <t>COR; PET</t>
        </is>
      </c>
      <c r="G30" s="10" t="inlineStr">
        <is>
          <t>Supuesto</t>
        </is>
      </c>
      <c r="H30" s="10" t="inlineStr">
        <is>
          <t>Toda venta cobrada tiene documento fiscal numerado.</t>
        </is>
      </c>
      <c r="I30" s="10" t="inlineStr">
        <is>
          <t>Nuevo</t>
        </is>
      </c>
    </row>
    <row r="31">
      <c r="A31" s="10" t="inlineStr">
        <is>
          <t>RF-29</t>
        </is>
      </c>
      <c r="B31" s="10" t="inlineStr">
        <is>
          <t>Facturación</t>
        </is>
      </c>
      <c r="C31" s="10" t="inlineStr">
        <is>
          <t>El sistema debe registrar cobros de facturas y consultar las pendientes de cobro.</t>
        </is>
      </c>
      <c r="D31" s="10" t="inlineStr">
        <is>
          <t>Should</t>
        </is>
      </c>
      <c r="E31" s="10" t="inlineStr">
        <is>
          <t>F1*</t>
        </is>
      </c>
      <c r="F31" s="10" t="inlineStr">
        <is>
          <t>COR (Lucía)</t>
        </is>
      </c>
      <c r="G31" s="10" t="inlineStr">
        <is>
          <t>Supuesto</t>
        </is>
      </c>
      <c r="H31" s="10" t="inlineStr">
        <is>
          <t>Una factura cobrada deja de aparecer como pendiente.</t>
        </is>
      </c>
      <c r="I31" s="10" t="inlineStr">
        <is>
          <t>Nuevo</t>
        </is>
      </c>
    </row>
    <row r="32">
      <c r="A32" s="10" t="inlineStr">
        <is>
          <t>RF-30</t>
        </is>
      </c>
      <c r="B32" s="10" t="inlineStr">
        <is>
          <t>Compras y proveedores</t>
        </is>
      </c>
      <c r="C32" s="10" t="inlineStr">
        <is>
          <t>El sistema debe gestionar proveedores y asociar cada producto a su proveedor.</t>
        </is>
      </c>
      <c r="D32" s="10" t="inlineStr">
        <is>
          <t>Must</t>
        </is>
      </c>
      <c r="E32" s="10" t="inlineStr">
        <is>
          <t>F1</t>
        </is>
      </c>
      <c r="F32" s="10" t="inlineStr">
        <is>
          <t>LIS; COR</t>
        </is>
      </c>
      <c r="G32" s="10" t="inlineStr">
        <is>
          <t>Explícito</t>
        </is>
      </c>
      <c r="H32" s="10" t="inlineStr">
        <is>
          <t>Los 5 proveedores de LIS existen y enlazan con sus productos.</t>
        </is>
      </c>
      <c r="I32" s="10" t="inlineStr">
        <is>
          <t>Nuevo</t>
        </is>
      </c>
    </row>
    <row r="33">
      <c r="A33" s="10" t="inlineStr">
        <is>
          <t>RF-31</t>
        </is>
      </c>
      <c r="B33" s="10" t="inlineStr">
        <is>
          <t>Compras y proveedores</t>
        </is>
      </c>
      <c r="C33" s="10" t="inlineStr">
        <is>
          <t>El sistema debe proponer pedidos a proveedor al bajar del mínimo y exigir confirmación manual antes de su salida. Pendiente de decisión (Q-02).</t>
        </is>
      </c>
      <c r="D33" s="10" t="inlineStr">
        <is>
          <t>Should</t>
        </is>
      </c>
      <c r="E33" s="10" t="inlineStr">
        <is>
          <t>F1*</t>
        </is>
      </c>
      <c r="F33" s="10" t="inlineStr">
        <is>
          <t>PET (Javier / Marisa); COR</t>
        </is>
      </c>
      <c r="G33" s="10" t="inlineStr">
        <is>
          <t>Supuesto</t>
        </is>
      </c>
      <c r="H33" s="10" t="inlineStr">
        <is>
          <t>Ningún pedido sale sin aprobación de un usuario autorizado.</t>
        </is>
      </c>
      <c r="I33" s="10" t="inlineStr">
        <is>
          <t>Nuevo</t>
        </is>
      </c>
    </row>
    <row r="34">
      <c r="A34" s="10" t="inlineStr">
        <is>
          <t>RF-32</t>
        </is>
      </c>
      <c r="B34" s="10" t="inlineStr">
        <is>
          <t>Compras y proveedores</t>
        </is>
      </c>
      <c r="C34" s="10" t="inlineStr">
        <is>
          <t>El sistema debe registrar manualmente un albarán de proveedor y dar entrada a su stock en la ubicación indicada.</t>
        </is>
      </c>
      <c r="D34" s="10" t="inlineStr">
        <is>
          <t>Should</t>
        </is>
      </c>
      <c r="E34" s="10" t="inlineStr">
        <is>
          <t>F1*</t>
        </is>
      </c>
      <c r="F34" s="10" t="inlineStr">
        <is>
          <t>COR; PET</t>
        </is>
      </c>
      <c r="G34" s="10" t="inlineStr">
        <is>
          <t>Supuesto</t>
        </is>
      </c>
      <c r="H34" s="10" t="inlineStr">
        <is>
          <t>El albarán genera movimientos de entrada (apoyado en RF-07).</t>
        </is>
      </c>
      <c r="I34" s="10" t="inlineStr">
        <is>
          <t>Nuevo</t>
        </is>
      </c>
    </row>
    <row r="35">
      <c r="A35" s="10" t="inlineStr">
        <is>
          <t>RF-33</t>
        </is>
      </c>
      <c r="B35" s="10" t="inlineStr">
        <is>
          <t>Compras y proveedores</t>
        </is>
      </c>
      <c r="C35" s="10" t="inlineStr">
        <is>
          <t>El sistema debe leer los albaranes PDF recibidos por correo (15–20 a la semana) y cargarlos como borrador para validar.</t>
        </is>
      </c>
      <c r="D35" s="10" t="inlineStr">
        <is>
          <t>Should</t>
        </is>
      </c>
      <c r="E35" s="10" t="inlineStr">
        <is>
          <t>F2</t>
        </is>
      </c>
      <c r="F35" s="10" t="inlineStr">
        <is>
          <t>PET; COR</t>
        </is>
      </c>
      <c r="G35" s="10" t="inlineStr">
        <is>
          <t>Explícito</t>
        </is>
      </c>
      <c r="H35" s="10" t="inlineStr">
        <is>
          <t>Con PDFs reales de los 5 proveedores, el borrador acierta líneas y cantidades (umbral a acordar).</t>
        </is>
      </c>
      <c r="I35" s="10" t="inlineStr">
        <is>
          <t>Nuevo</t>
        </is>
      </c>
    </row>
    <row r="36">
      <c r="A36" s="10" t="inlineStr">
        <is>
          <t>RF-34</t>
        </is>
      </c>
      <c r="B36" s="10" t="inlineStr">
        <is>
          <t>Compras y proveedores</t>
        </is>
      </c>
      <c r="C36" s="10" t="inlineStr">
        <is>
          <t>El sistema debe guardar y consultar el historial de precios de compra por proveedor y producto.</t>
        </is>
      </c>
      <c r="D36" s="10" t="inlineStr">
        <is>
          <t>Should</t>
        </is>
      </c>
      <c r="E36" s="10" t="inlineStr">
        <is>
          <t>F2*</t>
        </is>
      </c>
      <c r="F36" s="10" t="inlineStr">
        <is>
          <t>PET; LIS (FR-0043)</t>
        </is>
      </c>
      <c r="G36" s="10" t="inlineStr">
        <is>
          <t>Explícito</t>
        </is>
      </c>
      <c r="H36" s="10" t="inlineStr">
        <is>
          <t>Cada cambio de precio de compra queda con fecha.</t>
        </is>
      </c>
      <c r="I36" s="10" t="inlineStr">
        <is>
          <t>Nuevo</t>
        </is>
      </c>
    </row>
    <row r="37">
      <c r="A37" s="10" t="inlineStr">
        <is>
          <t>RF-35</t>
        </is>
      </c>
      <c r="B37" s="10" t="inlineStr">
        <is>
          <t>Usuarios, informes e integraciones</t>
        </is>
      </c>
      <c r="C37" s="10" t="inlineStr">
        <is>
          <t>El sistema debe exigir autenticación antes de usar cualquier función.</t>
        </is>
      </c>
      <c r="D37" s="10" t="inlineStr">
        <is>
          <t>Must</t>
        </is>
      </c>
      <c r="E37" s="10" t="inlineStr">
        <is>
          <t>F1</t>
        </is>
      </c>
      <c r="F37" s="10" t="inlineStr">
        <is>
          <t>COR</t>
        </is>
      </c>
      <c r="G37" s="10" t="inlineStr">
        <is>
          <t>Supuesto</t>
        </is>
      </c>
      <c r="H37" s="10" t="inlineStr">
        <is>
          <t>Toda petición sin sesión recibe rechazo.</t>
        </is>
      </c>
      <c r="I37" s="10" t="inlineStr">
        <is>
          <t>Nuevo</t>
        </is>
      </c>
    </row>
    <row r="38">
      <c r="A38" s="10" t="inlineStr">
        <is>
          <t>RF-36</t>
        </is>
      </c>
      <c r="B38" s="10" t="inlineStr">
        <is>
          <t>Usuarios, informes e integraciones</t>
        </is>
      </c>
      <c r="C38" s="10" t="inlineStr">
        <is>
          <t>El sistema debe aplicar cuatro perfiles: Dirección (completo), Almacén y compras, Facturación y cobros, y Mostrador (solo venta).</t>
        </is>
      </c>
      <c r="D38" s="10" t="inlineStr">
        <is>
          <t>Must</t>
        </is>
      </c>
      <c r="E38" s="10" t="inlineStr">
        <is>
          <t>F1</t>
        </is>
      </c>
      <c r="F38" s="10" t="inlineStr">
        <is>
          <t>COR; PET</t>
        </is>
      </c>
      <c r="G38" s="10" t="inlineStr">
        <is>
          <t>Explícito</t>
        </is>
      </c>
      <c r="H38" s="10" t="inlineStr">
        <is>
          <t>Matriz perfil-función comprobada con un usuario por perfil.</t>
        </is>
      </c>
      <c r="I38" s="10" t="inlineStr">
        <is>
          <t>Nuevo</t>
        </is>
      </c>
    </row>
    <row r="39">
      <c r="A39" s="10" t="inlineStr">
        <is>
          <t>RF-37</t>
        </is>
      </c>
      <c r="B39" s="10" t="inlineStr">
        <is>
          <t>Usuarios, informes e integraciones</t>
        </is>
      </c>
      <c r="C39" s="10" t="inlineStr">
        <is>
          <t>El sistema debe exportar a Excel los listados e informes (alcance en Q-14).</t>
        </is>
      </c>
      <c r="D39" s="10" t="inlineStr">
        <is>
          <t>Should</t>
        </is>
      </c>
      <c r="E39" s="10" t="inlineStr">
        <is>
          <t>F1*</t>
        </is>
      </c>
      <c r="F39" s="10" t="inlineStr">
        <is>
          <t>PET (Lucía, 3 veces)</t>
        </is>
      </c>
      <c r="G39" s="10" t="inlineStr">
        <is>
          <t>Explícito</t>
        </is>
      </c>
      <c r="H39" s="10" t="inlineStr">
        <is>
          <t>Stock, ventas, facturas y clientes se exportan a .xlsx con las columnas visibles.</t>
        </is>
      </c>
      <c r="I39" s="10" t="inlineStr">
        <is>
          <t>Nuevo</t>
        </is>
      </c>
    </row>
    <row r="40">
      <c r="A40" s="10" t="inlineStr">
        <is>
          <t>RF-38</t>
        </is>
      </c>
      <c r="B40" s="10" t="inlineStr">
        <is>
          <t>Usuarios, informes e integraciones</t>
        </is>
      </c>
      <c r="C40" s="10" t="inlineStr">
        <is>
          <t>El sistema debe generar el informe mensual de ventas por familia para el gestor.</t>
        </is>
      </c>
      <c r="D40" s="10" t="inlineStr">
        <is>
          <t>Should</t>
        </is>
      </c>
      <c r="E40" s="10" t="inlineStr">
        <is>
          <t>F2</t>
        </is>
      </c>
      <c r="F40" s="10" t="inlineStr">
        <is>
          <t>COR; PET</t>
        </is>
      </c>
      <c r="G40" s="10" t="inlineStr">
        <is>
          <t>Explícito</t>
        </is>
      </c>
      <c r="H40" s="10" t="inlineStr">
        <is>
          <t>Coincide con el informe que Lucía monta a mano.</t>
        </is>
      </c>
      <c r="I40" s="10" t="inlineStr">
        <is>
          <t>Nuevo</t>
        </is>
      </c>
    </row>
    <row r="41">
      <c r="A41" s="10" t="inlineStr">
        <is>
          <t>RF-39</t>
        </is>
      </c>
      <c r="B41" s="10" t="inlineStr">
        <is>
          <t>Usuarios, informes e integraciones</t>
        </is>
      </c>
      <c r="C41" s="10" t="inlineStr">
        <is>
          <t>El sistema debe permitir a Dirección ver desde el móvil el total vendido en el día.</t>
        </is>
      </c>
      <c r="D41" s="10" t="inlineStr">
        <is>
          <t>Should</t>
        </is>
      </c>
      <c r="E41" s="10" t="inlineStr">
        <is>
          <t>F2*</t>
        </is>
      </c>
      <c r="F41" s="10" t="inlineStr">
        <is>
          <t>PET (Marisa)</t>
        </is>
      </c>
      <c r="G41" s="10" t="inlineStr">
        <is>
          <t>Explícito</t>
        </is>
      </c>
      <c r="H41" s="10" t="inlineStr">
        <is>
          <t>El total coincide con la suma de ventas del día de ambas ubicaciones.</t>
        </is>
      </c>
      <c r="I41" s="10" t="inlineStr">
        <is>
          <t>Nuevo</t>
        </is>
      </c>
    </row>
    <row r="42">
      <c r="A42" s="10" t="inlineStr">
        <is>
          <t>RF-40</t>
        </is>
      </c>
      <c r="B42" s="10" t="inlineStr">
        <is>
          <t>Usuarios, informes e integraciones</t>
        </is>
      </c>
      <c r="C42" s="10" t="inlineStr">
        <is>
          <t>El sistema debe sincronizar el stock con la tienda online (Prestashop).</t>
        </is>
      </c>
      <c r="D42" s="10" t="inlineStr">
        <is>
          <t>Could</t>
        </is>
      </c>
      <c r="E42" s="10" t="inlineStr">
        <is>
          <t>F2</t>
        </is>
      </c>
      <c r="F42" s="10" t="inlineStr">
        <is>
          <t>COR; PET</t>
        </is>
      </c>
      <c r="G42" s="10" t="inlineStr">
        <is>
          <t>Explícito</t>
        </is>
      </c>
      <c r="H42" s="10" t="inlineStr">
        <is>
          <t>Una venta en tienda física actualiza el stock publicado.</t>
        </is>
      </c>
      <c r="I42" s="10" t="inlineStr">
        <is>
          <t>Nuevo</t>
        </is>
      </c>
    </row>
    <row r="43">
      <c r="A43" s="10" t="inlineStr">
        <is>
          <t>RF-41</t>
        </is>
      </c>
      <c r="B43" s="10" t="inlineStr">
        <is>
          <t>Usuarios, informes e integraciones</t>
        </is>
      </c>
      <c r="C43" s="10" t="inlineStr">
        <is>
          <t>El sistema debe ofrecer un asistente con IA en la web para que los clientes consulten stock.</t>
        </is>
      </c>
      <c r="D43" s="10" t="inlineStr">
        <is>
          <t>Won't</t>
        </is>
      </c>
      <c r="E43" s="10" t="inlineStr">
        <is>
          <t>Aparcado</t>
        </is>
      </c>
      <c r="F43" s="10" t="inlineStr">
        <is>
          <t>COR; PET</t>
        </is>
      </c>
      <c r="G43" s="10" t="inlineStr">
        <is>
          <t>Explícito</t>
        </is>
      </c>
      <c r="H43" s="10" t="inlineStr">
        <is>
          <t>No se desarrolla; se retoma cuando F1 esté en marcha.</t>
        </is>
      </c>
      <c r="I43" s="10" t="inlineStr">
        <is>
          <t>Nuevo</t>
        </is>
      </c>
    </row>
    <row r="44">
      <c r="A44" s="10" t="inlineStr">
        <is>
          <t>RNF-01</t>
        </is>
      </c>
      <c r="B44" s="10" t="inlineStr">
        <is>
          <t>No funcional</t>
        </is>
      </c>
      <c r="C44" s="10" t="inlineStr">
        <is>
          <t>El sistema debe permitir cobrar en el mostrador sin conexión a internet y sincronizar al recuperarla. Alcance y duración en Q-05.</t>
        </is>
      </c>
      <c r="D44" s="10" t="inlineStr">
        <is>
          <t>Must</t>
        </is>
      </c>
      <c r="E44" s="10" t="inlineStr">
        <is>
          <t>Transversal</t>
        </is>
      </c>
      <c r="F44" s="10" t="inlineStr">
        <is>
          <t>PET</t>
        </is>
      </c>
      <c r="G44" s="10" t="inlineStr">
        <is>
          <t>Explícito</t>
        </is>
      </c>
      <c r="H44" s="10" t="inlineStr">
        <is>
          <t>Con la red cortada se completa una venta y se sincroniza al volver.</t>
        </is>
      </c>
      <c r="I44" s="10" t="inlineStr">
        <is>
          <t>Nuevo</t>
        </is>
      </c>
    </row>
    <row r="45">
      <c r="A45" s="10" t="inlineStr">
        <is>
          <t>RNF-02</t>
        </is>
      </c>
      <c r="B45" s="10" t="inlineStr">
        <is>
          <t>No funcional</t>
        </is>
      </c>
      <c r="C45" s="10" t="inlineStr">
        <is>
          <t>El sistema debe garantizar integridad, trazabilidad e inalterabilidad de los registros de facturación (Verifactu).</t>
        </is>
      </c>
      <c r="D45" s="10" t="inlineStr">
        <is>
          <t>Must</t>
        </is>
      </c>
      <c r="E45" s="10" t="inlineStr">
        <is>
          <t>Transversal</t>
        </is>
      </c>
      <c r="F45" s="10" t="inlineStr">
        <is>
          <t>COR; PET</t>
        </is>
      </c>
      <c r="G45" s="10" t="inlineStr">
        <is>
          <t>Explícito</t>
        </is>
      </c>
      <c r="H45" s="10" t="inlineStr">
        <is>
          <t>Una factura emitida no puede editarse ni borrarse.</t>
        </is>
      </c>
      <c r="I45" s="10" t="inlineStr">
        <is>
          <t>Nuevo</t>
        </is>
      </c>
    </row>
    <row r="46">
      <c r="A46" s="10" t="inlineStr">
        <is>
          <t>RNF-03</t>
        </is>
      </c>
      <c r="B46" s="10" t="inlineStr">
        <is>
          <t>No funcional</t>
        </is>
      </c>
      <c r="C46" s="10" t="inlineStr">
        <is>
          <t>El sistema debe hacer copias de seguridad automáticas. Frecuencia, retención y destino pendientes (Q-03).</t>
        </is>
      </c>
      <c r="D46" s="10" t="inlineStr">
        <is>
          <t>Must</t>
        </is>
      </c>
      <c r="E46" s="10" t="inlineStr">
        <is>
          <t>Transversal</t>
        </is>
      </c>
      <c r="F46" s="10" t="inlineStr">
        <is>
          <t>PET</t>
        </is>
      </c>
      <c r="G46" s="10" t="inlineStr">
        <is>
          <t>Explícito</t>
        </is>
      </c>
      <c r="H46" s="10" t="inlineStr">
        <is>
          <t>Restauración de una copia probada con éxito.</t>
        </is>
      </c>
      <c r="I46" s="10" t="inlineStr">
        <is>
          <t>Nuevo</t>
        </is>
      </c>
    </row>
    <row r="47">
      <c r="A47" s="10" t="inlineStr">
        <is>
          <t>RNF-04</t>
        </is>
      </c>
      <c r="B47" s="10" t="inlineStr">
        <is>
          <t>No funcional</t>
        </is>
      </c>
      <c r="C47" s="10" t="inlineStr">
        <is>
          <t>El sistema debe comprobar los permisos del perfil en el servidor y proteger el acceso con credenciales individuales.</t>
        </is>
      </c>
      <c r="D47" s="10" t="inlineStr">
        <is>
          <t>Must</t>
        </is>
      </c>
      <c r="E47" s="10" t="inlineStr">
        <is>
          <t>Transversal</t>
        </is>
      </c>
      <c r="F47" s="10" t="inlineStr">
        <is>
          <t>COR; PET</t>
        </is>
      </c>
      <c r="G47" s="10" t="inlineStr">
        <is>
          <t>Supuesto</t>
        </is>
      </c>
      <c r="H47" s="10" t="inlineStr">
        <is>
          <t>Llamar a la API con un perfil no autorizado devuelve rechazo.</t>
        </is>
      </c>
      <c r="I47" s="10" t="inlineStr">
        <is>
          <t>Nuevo</t>
        </is>
      </c>
    </row>
    <row r="48">
      <c r="A48" s="10" t="inlineStr">
        <is>
          <t>RNF-06</t>
        </is>
      </c>
      <c r="B48" s="10" t="inlineStr">
        <is>
          <t>No funcional</t>
        </is>
      </c>
      <c r="C48" s="10" t="inlineStr">
        <is>
          <t>El sistema debe funcionar con las pistolas USB ya existentes, sin hardware adicional de lectura.</t>
        </is>
      </c>
      <c r="D48" s="10" t="inlineStr">
        <is>
          <t>Must</t>
        </is>
      </c>
      <c r="E48" s="10" t="inlineStr">
        <is>
          <t>Transversal</t>
        </is>
      </c>
      <c r="F48" s="10" t="inlineStr">
        <is>
          <t>COR; PET</t>
        </is>
      </c>
      <c r="G48" s="10" t="inlineStr">
        <is>
          <t>Explícito</t>
        </is>
      </c>
      <c r="H48" s="10" t="inlineStr">
        <is>
          <t>Lectura correcta con las pistolas reales en el mostrador.</t>
        </is>
      </c>
      <c r="I48" s="10" t="inlineStr">
        <is>
          <t>Nuevo</t>
        </is>
      </c>
    </row>
    <row r="49">
      <c r="A49" s="10" t="inlineStr">
        <is>
          <t>RNF-07</t>
        </is>
      </c>
      <c r="B49" s="10" t="inlineStr">
        <is>
          <t>No funcional</t>
        </is>
      </c>
      <c r="C49" s="10" t="inlineStr">
        <is>
          <t>El sistema debe estar operativo (alcance de F1) antes del inventario anual de enero de 2027. Fecha exacta pendiente (Q-20).</t>
        </is>
      </c>
      <c r="D49" s="10" t="inlineStr">
        <is>
          <t>Must</t>
        </is>
      </c>
      <c r="E49" s="10" t="inlineStr">
        <is>
          <t>Transversal</t>
        </is>
      </c>
      <c r="F49" s="10" t="inlineStr">
        <is>
          <t>COR; PET</t>
        </is>
      </c>
      <c r="G49" s="10" t="inlineStr">
        <is>
          <t>Explícito</t>
        </is>
      </c>
      <c r="H49" s="10" t="inlineStr">
        <is>
          <t>Puesta en marcha antes de la fecha acordada.</t>
        </is>
      </c>
      <c r="I49" s="10" t="inlineStr">
        <is>
          <t>Nuevo</t>
        </is>
      </c>
    </row>
    <row r="50">
      <c r="A50" s="10" t="inlineStr">
        <is>
          <t>RNF-08</t>
        </is>
      </c>
      <c r="B50" s="10" t="inlineStr">
        <is>
          <t>No funcional</t>
        </is>
      </c>
      <c r="C50" s="10" t="inlineStr">
        <is>
          <t>El sistema debe ser usable desde navegadores de móvil al menos en consulta de ventas del día y alta rápida de producto.</t>
        </is>
      </c>
      <c r="D50" s="10" t="inlineStr">
        <is>
          <t>Should</t>
        </is>
      </c>
      <c r="E50" s="10" t="inlineStr">
        <is>
          <t>Transversal</t>
        </is>
      </c>
      <c r="F50" s="10" t="inlineStr">
        <is>
          <t>PET</t>
        </is>
      </c>
      <c r="G50" s="10" t="inlineStr">
        <is>
          <t>Supuesto</t>
        </is>
      </c>
      <c r="H50" s="10" t="inlineStr">
        <is>
          <t>Pantallas legibles y operables en 360 px de ancho.</t>
        </is>
      </c>
      <c r="I50" s="10" t="inlineStr">
        <is>
          <t>Nuevo</t>
        </is>
      </c>
    </row>
    <row r="51">
      <c r="A51" s="10" t="inlineStr">
        <is>
          <t>RNF-09</t>
        </is>
      </c>
      <c r="B51" s="10" t="inlineStr">
        <is>
          <t>No funcional</t>
        </is>
      </c>
      <c r="C51" s="10" t="inlineStr">
        <is>
          <t>El sistema debe registrar quién y cuándo hace ventas, descuentos, ajustes de stock, devoluciones y facturas.</t>
        </is>
      </c>
      <c r="D51" s="10" t="inlineStr">
        <is>
          <t>Should</t>
        </is>
      </c>
      <c r="E51" s="10" t="inlineStr">
        <is>
          <t>Transversal</t>
        </is>
      </c>
      <c r="F51" s="10" t="inlineStr">
        <is>
          <t>Criterio del analista</t>
        </is>
      </c>
      <c r="G51" s="10" t="inlineStr">
        <is>
          <t>Supuesto</t>
        </is>
      </c>
      <c r="H51" s="10" t="inlineStr">
        <is>
          <t>Consulta de auditoría por usuario y fecha.</t>
        </is>
      </c>
      <c r="I51" s="10" t="inlineStr">
        <is>
          <t>Nuevo</t>
        </is>
      </c>
    </row>
    <row r="52">
      <c r="A52" s="10" t="inlineStr">
        <is>
          <t>RNF-10</t>
        </is>
      </c>
      <c r="B52" s="10" t="inlineStr">
        <is>
          <t>No funcional</t>
        </is>
      </c>
      <c r="C52" s="10" t="inlineStr">
        <is>
          <t>El sistema debe dimensionarse para unos 5 usuarios, 2 ubicaciones, 15–20 albaranes/semana y un catálogo de cientos de referencias.</t>
        </is>
      </c>
      <c r="D52" s="10" t="inlineStr">
        <is>
          <t>Should</t>
        </is>
      </c>
      <c r="E52" s="10" t="inlineStr">
        <is>
          <t>Transversal</t>
        </is>
      </c>
      <c r="F52" s="10" t="inlineStr">
        <is>
          <t>COR; PET; LIS</t>
        </is>
      </c>
      <c r="G52" s="10" t="inlineStr">
        <is>
          <t>Supuesto</t>
        </is>
      </c>
      <c r="H52" s="10" t="inlineStr">
        <is>
          <t>Prueba con el catálogo completo y 5 sesiones simultáneas.</t>
        </is>
      </c>
      <c r="I52" s="10" t="inlineStr">
        <is>
          <t>Nuevo</t>
        </is>
      </c>
    </row>
    <row r="53">
      <c r="A53" s="10" t="inlineStr">
        <is>
          <t>RNF-11</t>
        </is>
      </c>
      <c r="B53" s="10" t="inlineStr">
        <is>
          <t>No funcional</t>
        </is>
      </c>
      <c r="C53" s="10" t="inlineStr">
        <is>
          <t>El sistema debe estar en español, con euros, IVA por defecto del 21 % y coma decimal.</t>
        </is>
      </c>
      <c r="D53" s="10" t="inlineStr">
        <is>
          <t>Should</t>
        </is>
      </c>
      <c r="E53" s="10" t="inlineStr">
        <is>
          <t>Transversal</t>
        </is>
      </c>
      <c r="F53" s="10" t="inlineStr">
        <is>
          <t>LIS</t>
        </is>
      </c>
      <c r="G53" s="10" t="inlineStr">
        <is>
          <t>Supuesto</t>
        </is>
      </c>
      <c r="H53" s="10" t="inlineStr">
        <is>
          <t>Importes y fechas con formato español en pantalla y documentos.</t>
        </is>
      </c>
      <c r="I53" s="10" t="inlineStr">
        <is>
          <t>Nuevo</t>
        </is>
      </c>
    </row>
    <row r="54">
      <c r="A54" s="10" t="inlineStr">
        <is>
          <t>RNF-12</t>
        </is>
      </c>
      <c r="B54" s="10" t="inlineStr">
        <is>
          <t>No funcional</t>
        </is>
      </c>
      <c r="C54" s="10" t="inlineStr">
        <is>
          <t>La solución debe encajar en el stack .NET 10 + EF Core + SQLite + React/TypeScript; modo sin conexión, Verifactu y Prestashop requieren análisis previo.</t>
        </is>
      </c>
      <c r="D54" s="10" t="inlineStr">
        <is>
          <t>Must</t>
        </is>
      </c>
      <c r="E54" s="10" t="inlineStr">
        <is>
          <t>Transversal</t>
        </is>
      </c>
      <c r="F54" s="10" t="inlineStr">
        <is>
          <t>Instrucciones del repositorio</t>
        </is>
      </c>
      <c r="G54" s="10" t="inlineStr">
        <is>
          <t>Supuesto</t>
        </is>
      </c>
      <c r="H54" s="10" t="inlineStr">
        <is>
          <t>Informe de viabilidad antes de planificar cada uno.</t>
        </is>
      </c>
      <c r="I54" s="10" t="inlineStr">
        <is>
          <t>Nuevo</t>
        </is>
      </c>
    </row>
    <row r="55">
      <c r="A55" s="10" t="inlineStr">
        <is>
          <t>RNF-13</t>
        </is>
      </c>
      <c r="B55" s="10" t="inlineStr">
        <is>
          <t>No funcional</t>
        </is>
      </c>
      <c r="C55" s="10" t="inlineStr">
        <is>
          <t>Restricción de proceso: presupuesto no indicado ("primero dime qué me vais a hacer"); la propuesta de alcance y plazos de F1 se entrega antes del 17/10/2026.</t>
        </is>
      </c>
      <c r="D55" s="10" t="inlineStr">
        <is>
          <t>Must</t>
        </is>
      </c>
      <c r="E55" s="10" t="inlineStr">
        <is>
          <t>Proceso</t>
        </is>
      </c>
      <c r="F55" s="10" t="inlineStr">
        <is>
          <t>PET; COR</t>
        </is>
      </c>
      <c r="G55" s="10" t="inlineStr">
        <is>
          <t>Explícito</t>
        </is>
      </c>
      <c r="H55" s="10" t="inlineStr">
        <is>
          <t>Propuesta entregada en plazo.</t>
        </is>
      </c>
      <c r="I55" s="10" t="inlineStr">
        <is>
          <t>Nuevo</t>
        </is>
      </c>
    </row>
  </sheetData>
  <autoFilter ref="A1:I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4" customWidth="1" min="3" max="3"/>
    <col width="60" customWidth="1" min="4" max="4"/>
    <col width="28" customWidth="1" min="5" max="5"/>
    <col width="12" customWidth="1" min="6" max="6"/>
  </cols>
  <sheetData>
    <row r="1">
      <c r="A1" s="9" t="inlineStr">
        <is>
          <t>ID</t>
        </is>
      </c>
      <c r="B1" s="9" t="inlineStr">
        <is>
          <t>Descripción</t>
        </is>
      </c>
      <c r="C1" s="9" t="inlineStr">
        <is>
          <t>Fuentes implicadas</t>
        </is>
      </c>
      <c r="D1" s="9" t="inlineStr">
        <is>
          <t>Pregunta para el cliente</t>
        </is>
      </c>
      <c r="E1" s="9" t="inlineStr">
        <is>
          <t>Impacto</t>
        </is>
      </c>
      <c r="F1" s="9" t="inlineStr">
        <is>
          <t>Estado</t>
        </is>
      </c>
    </row>
    <row r="2">
      <c r="A2" s="10" t="inlineStr">
        <is>
          <t>Q-01</t>
        </is>
      </c>
      <c r="B2" s="10" t="inlineStr">
        <is>
          <t>CONFLICTO. Vender sin stock: Marisa sí (el camión llega por la tarde), Javier no (líos con clientes).</t>
        </is>
      </c>
      <c r="C2" s="10" t="inlineStr">
        <is>
          <t>PET; COR</t>
        </is>
      </c>
      <c r="D2" s="10" t="inlineStr">
        <is>
          <t>¿Se permite? Si sí, ¿para todos o con autorización de Marisa/Lucía? ¿Se acepta stock negativo?</t>
        </is>
      </c>
      <c r="E2" s="10" t="inlineStr">
        <is>
          <t>Crítico (RF-23)</t>
        </is>
      </c>
      <c r="F2" s="10" t="inlineStr">
        <is>
          <t>Pendiente</t>
        </is>
      </c>
    </row>
    <row r="3">
      <c r="A3" s="10" t="inlineStr">
        <is>
          <t>Q-02</t>
        </is>
      </c>
      <c r="B3" s="10" t="inlineStr">
        <is>
          <t>CONFLICTO. Pedidos a proveedor: Javier automáticos al bajar del mínimo; Marisa revisar siempre.</t>
        </is>
      </c>
      <c r="C3" s="10" t="inlineStr">
        <is>
          <t>PET; COR</t>
        </is>
      </c>
      <c r="D3" s="10" t="inlineStr">
        <is>
          <t>¿Aceptáis propuesta automática con aprobación manual? ¿Quién aprueba y cómo se envía?</t>
        </is>
      </c>
      <c r="E3" s="10" t="inlineStr">
        <is>
          <t>Alto (RF-31)</t>
        </is>
      </c>
      <c r="F3" s="10" t="inlineStr">
        <is>
          <t>Pendiente</t>
        </is>
      </c>
    </row>
    <row r="4">
      <c r="A4" s="10" t="inlineStr">
        <is>
          <t>Q-03</t>
        </is>
      </c>
      <c r="B4" s="10" t="inlineStr">
        <is>
          <t>HUECO. No se cuenta qué pasó en 2023.</t>
        </is>
      </c>
      <c r="C4" s="10" t="inlineStr">
        <is>
          <t>PET; COR</t>
        </is>
      </c>
      <c r="D4" s="10" t="inlineStr">
        <is>
          <t>¿Qué ocurrió (fallo de disco, borrado, ransomware, error humano)? ¿Cuánta pérdida de datos es tolerable?</t>
        </is>
      </c>
      <c r="E4" s="10" t="inlineStr">
        <is>
          <t>Alto (RNF-03)</t>
        </is>
      </c>
      <c r="F4" s="10" t="inlineStr">
        <is>
          <t>Pendiente</t>
        </is>
      </c>
    </row>
    <row r="5">
      <c r="A5" s="10" t="inlineStr">
        <is>
          <t>Q-04</t>
        </is>
      </c>
      <c r="B5" s="10" t="inlineStr">
        <is>
          <t>HUECO. Dónde se instala (servidor en la nave, nube, un PC por sede), equipos y puestos de cobro.</t>
        </is>
      </c>
      <c r="C5" s="10" t="inlineStr">
        <is>
          <t>COR; PET</t>
        </is>
      </c>
      <c r="D5" s="10" t="inlineStr">
        <is>
          <t>¿Qué equipos y conexión hay? ¿Servidor local o nube?</t>
        </is>
      </c>
      <c r="E5" s="10" t="inlineStr">
        <is>
          <t>Crítico</t>
        </is>
      </c>
      <c r="F5" s="10" t="inlineStr">
        <is>
          <t>Pendiente</t>
        </is>
      </c>
    </row>
    <row r="6">
      <c r="A6" s="10" t="inlineStr">
        <is>
          <t>Q-05</t>
        </is>
      </c>
      <c r="B6" s="10" t="inlineStr">
        <is>
          <t>AMBIGÜEDAD. "Que funcione sin internet": qué y cuánto tiempo.</t>
        </is>
      </c>
      <c r="C6" s="10" t="inlineStr">
        <is>
          <t>PET</t>
        </is>
      </c>
      <c r="D6" s="10" t="inlineStr">
        <is>
          <t>¿Basta con cobrar en mostrador? ¿Hasta cuántas horas?</t>
        </is>
      </c>
      <c r="E6" s="10" t="inlineStr">
        <is>
          <t>Crítico (RNF-01)</t>
        </is>
      </c>
      <c r="F6" s="10" t="inlineStr">
        <is>
          <t>Pendiente</t>
        </is>
      </c>
    </row>
    <row r="7">
      <c r="A7" s="10" t="inlineStr">
        <is>
          <t>Q-06</t>
        </is>
      </c>
      <c r="B7" s="10" t="inlineStr">
        <is>
          <t>HUECO. Verifactu: modalidad, certificado, series, declaración responsable.</t>
        </is>
      </c>
      <c r="C7" s="10" t="inlineStr">
        <is>
          <t>PET; COR</t>
        </is>
      </c>
      <c r="D7" s="10" t="inlineStr">
        <is>
          <t>¿Qué modalidad prefiere el gestor? ¿Hay certificado digital?</t>
        </is>
      </c>
      <c r="E7" s="10" t="inlineStr">
        <is>
          <t>Crítico</t>
        </is>
      </c>
      <c r="F7" s="10" t="inlineStr">
        <is>
          <t>Pendiente</t>
        </is>
      </c>
    </row>
    <row r="8">
      <c r="A8" s="10" t="inlineStr">
        <is>
          <t>Q-07</t>
        </is>
      </c>
      <c r="B8" s="10" t="inlineStr">
        <is>
          <t>HUECO. Documento fiscal del mostrador.</t>
        </is>
      </c>
      <c r="C8" s="10" t="inlineStr">
        <is>
          <t>COR; PET</t>
        </is>
      </c>
      <c r="D8" s="10" t="inlineStr">
        <is>
          <t>¿Todo ticket es factura simplificada? ¿Cuándo pasa a factura completa?</t>
        </is>
      </c>
      <c r="E8" s="10" t="inlineStr">
        <is>
          <t>Alto (RF-28)</t>
        </is>
      </c>
      <c r="F8" s="10" t="inlineStr">
        <is>
          <t>Pendiente</t>
        </is>
      </c>
    </row>
    <row r="9">
      <c r="A9" s="10" t="inlineStr">
        <is>
          <t>Q-08</t>
        </is>
      </c>
      <c r="B9" s="10" t="inlineStr">
        <is>
          <t>HUECO. Falta el listado de clientes en RE y con descuento.</t>
        </is>
      </c>
      <c r="C9" s="10" t="inlineStr">
        <is>
          <t>COR; PET</t>
        </is>
      </c>
      <c r="D9" s="10" t="inlineStr">
        <is>
          <t>¿Podéis enviar clientes con NIF, régimen y descuento por familia antes del 17/10?</t>
        </is>
      </c>
      <c r="E9" s="10" t="inlineStr">
        <is>
          <t>Alto (RF-21, 22, 27, 43)</t>
        </is>
      </c>
      <c r="F9" s="10" t="inlineStr">
        <is>
          <t>Pendiente</t>
        </is>
      </c>
    </row>
    <row r="10">
      <c r="A10" s="10" t="inlineStr">
        <is>
          <t>Q-09</t>
        </is>
      </c>
      <c r="B10" s="10" t="inlineStr">
        <is>
          <t>HUECO. Sin Excel de la tienda; listado de la nave posiblemente parcial.</t>
        </is>
      </c>
      <c r="C10" s="10" t="inlineStr">
        <is>
          <t>LIS; COR</t>
        </is>
      </c>
      <c r="D10" s="10" t="inlineStr">
        <is>
          <t>¿Podéis enviar el Excel de la tienda y el listado completo?</t>
        </is>
      </c>
      <c r="E10" s="10" t="inlineStr">
        <is>
          <t>Alto (RF-04)</t>
        </is>
      </c>
      <c r="F10" s="10" t="inlineStr">
        <is>
          <t>Pendiente</t>
        </is>
      </c>
    </row>
    <row r="11">
      <c r="A11" s="10" t="inlineStr">
        <is>
          <t>Q-10</t>
        </is>
      </c>
      <c r="B11" s="10" t="inlineStr">
        <is>
          <t>HUECO. Sin códigos de barras en LIS.</t>
        </is>
      </c>
      <c r="C11" s="10" t="inlineStr">
        <is>
          <t>LIS; COR</t>
        </is>
      </c>
      <c r="D11" s="10" t="inlineStr">
        <is>
          <t>¿Los productos traen EAN? ¿Quién etiqueta los que no? ¿Cajas y unidades tienen códigos distintos?</t>
        </is>
      </c>
      <c r="E11" s="10" t="inlineStr">
        <is>
          <t>Alto (RF-05, 15)</t>
        </is>
      </c>
      <c r="F11" s="10" t="inlineStr">
        <is>
          <t>Pendiente</t>
        </is>
      </c>
    </row>
    <row r="12">
      <c r="A12" s="10" t="inlineStr">
        <is>
          <t>Q-11</t>
        </is>
      </c>
      <c r="B12" s="10" t="inlineStr">
        <is>
          <t>AMBIGÜEDAD. Cajas/packs/rollos (11 de 39).</t>
        </is>
      </c>
      <c r="C12" s="10" t="inlineStr">
        <is>
          <t>LIS</t>
        </is>
      </c>
      <c r="D12" s="10" t="inlineStr">
        <is>
          <t>¿Se venden también por unidad suelta?</t>
        </is>
      </c>
      <c r="E12" s="10" t="inlineStr">
        <is>
          <t>Medio</t>
        </is>
      </c>
      <c r="F12" s="10" t="inlineStr">
        <is>
          <t>Pendiente</t>
        </is>
      </c>
    </row>
    <row r="13">
      <c r="A13" s="10" t="inlineStr">
        <is>
          <t>Q-12</t>
        </is>
      </c>
      <c r="B13" s="10" t="inlineStr">
        <is>
          <t>AMBIGÜEDAD. "Albaranes en PDF" (F2): ¿cargar los de proveedor o generar propios? PET apunta a cargar los de proveedor.</t>
        </is>
      </c>
      <c r="C13" s="10" t="inlineStr">
        <is>
          <t>COR; PET</t>
        </is>
      </c>
      <c r="D13" s="10" t="inlineStr">
        <is>
          <t>¿Confirmáis la lectura de PDFs de los 5 proveedores? ¿Podéis enviar ejemplos?</t>
        </is>
      </c>
      <c r="E13" s="10" t="inlineStr">
        <is>
          <t>Medio (RF-33)</t>
        </is>
      </c>
      <c r="F13" s="10" t="inlineStr">
        <is>
          <t>Pendiente</t>
        </is>
      </c>
    </row>
    <row r="14">
      <c r="A14" s="10" t="inlineStr">
        <is>
          <t>Q-13</t>
        </is>
      </c>
      <c r="B14" s="10" t="inlineStr">
        <is>
          <t>AMBIGÜEDAD. Aviso de mínimo: ¿pantalla o correo? ¿Mínimo por ubicación o global?</t>
        </is>
      </c>
      <c r="C14" s="10" t="inlineStr">
        <is>
          <t>PET; LIS</t>
        </is>
      </c>
      <c r="D14" s="10" t="inlineStr">
        <is>
          <t>¿Dónde se ve el aviso y quién revisa los mínimos antes de arrancar?</t>
        </is>
      </c>
      <c r="E14" s="10" t="inlineStr">
        <is>
          <t>Medio (RF-09)</t>
        </is>
      </c>
      <c r="F14" s="10" t="inlineStr">
        <is>
          <t>Pendiente</t>
        </is>
      </c>
    </row>
    <row r="15">
      <c r="A15" s="10" t="inlineStr">
        <is>
          <t>Q-14</t>
        </is>
      </c>
      <c r="B15" s="10" t="inlineStr">
        <is>
          <t>AMBIGÜEDAD. "Exportar a Excel. Todo. Siempre."</t>
        </is>
      </c>
      <c r="C15" s="10" t="inlineStr">
        <is>
          <t>PET</t>
        </is>
      </c>
      <c r="D15" s="10" t="inlineStr">
        <is>
          <t>¿Qué listados y columnas son imprescindibles?</t>
        </is>
      </c>
      <c r="E15" s="10" t="inlineStr">
        <is>
          <t>Medio (RF-37)</t>
        </is>
      </c>
      <c r="F15" s="10" t="inlineStr">
        <is>
          <t>Pendiente</t>
        </is>
      </c>
    </row>
    <row r="16">
      <c r="A16" s="10" t="inlineStr">
        <is>
          <t>Q-15</t>
        </is>
      </c>
      <c r="B16" s="10" t="inlineStr">
        <is>
          <t>AMBIGÜEDAD. "No seis clics" sin criterio medible.</t>
        </is>
      </c>
      <c r="C16" s="10" t="inlineStr">
        <is>
          <t>PET</t>
        </is>
      </c>
      <c r="D16" s="10" t="inlineStr">
        <is>
          <t>¿Cuántos pasos y segundos son aceptables para una venta típica?</t>
        </is>
      </c>
      <c r="E16" s="10" t="inlineStr">
        <is>
          <t>Medio (RF-17)</t>
        </is>
      </c>
      <c r="F16" s="10" t="inlineStr">
        <is>
          <t>Pendiente</t>
        </is>
      </c>
    </row>
    <row r="17">
      <c r="A17" s="10" t="inlineStr">
        <is>
          <t>Q-16</t>
        </is>
      </c>
      <c r="B17" s="10" t="inlineStr">
        <is>
          <t>HUECO. Reglas de descuento: acumulación, máximo, ¿por cliente y familia?</t>
        </is>
      </c>
      <c r="C17" s="10" t="inlineStr">
        <is>
          <t>PET</t>
        </is>
      </c>
      <c r="D17" s="10" t="inlineStr">
        <is>
          <t>¿Puede haber descuentos puntuales? ¿Máximo permitido?</t>
        </is>
      </c>
      <c r="E17" s="10" t="inlineStr">
        <is>
          <t>Medio</t>
        </is>
      </c>
      <c r="F17" s="10" t="inlineStr">
        <is>
          <t>Pendiente</t>
        </is>
      </c>
    </row>
    <row r="18">
      <c r="A18" s="10" t="inlineStr">
        <is>
          <t>Q-17</t>
        </is>
      </c>
      <c r="B18" s="10" t="inlineStr">
        <is>
          <t>HUECO. Medios de pago, pagos aplazados, datáfono.</t>
        </is>
      </c>
      <c r="C18" s="10" t="inlineStr">
        <is>
          <t>COR</t>
        </is>
      </c>
      <c r="D18" s="10" t="inlineStr">
        <is>
          <t>¿Qué medios usáis? ¿Integración con datáfono?</t>
        </is>
      </c>
      <c r="E18" s="10" t="inlineStr">
        <is>
          <t>Medio (RF-29)</t>
        </is>
      </c>
      <c r="F18" s="10" t="inlineStr">
        <is>
          <t>Pendiente</t>
        </is>
      </c>
    </row>
    <row r="19">
      <c r="A19" s="10" t="inlineStr">
        <is>
          <t>Q-18</t>
        </is>
      </c>
      <c r="B19" s="10" t="inlineStr">
        <is>
          <t>HUECO. Hardware: impresoras de ticket y etiquetas, cajón, táctil.</t>
        </is>
      </c>
      <c r="C19" s="10" t="inlineStr">
        <is>
          <t>PET</t>
        </is>
      </c>
      <c r="D19" s="10" t="inlineStr">
        <is>
          <t>¿Qué tenéis o pensáis comprar? ¿Táctil deseable o necesario?</t>
        </is>
      </c>
      <c r="E19" s="10" t="inlineStr">
        <is>
          <t>Medio</t>
        </is>
      </c>
      <c r="F19" s="10" t="inlineStr">
        <is>
          <t>Pendiente</t>
        </is>
      </c>
    </row>
    <row r="20">
      <c r="A20" s="10" t="inlineStr">
        <is>
          <t>Q-19</t>
        </is>
      </c>
      <c r="B20" s="10" t="inlineStr">
        <is>
          <t>HUECO. Presupuesto no definido.</t>
        </is>
      </c>
      <c r="C20" s="10" t="inlineStr">
        <is>
          <t>PET</t>
        </is>
      </c>
      <c r="D20" s="10" t="inlineStr">
        <is>
          <t>¿Hay rango de inversión? ¿Se valora F1 por separado?</t>
        </is>
      </c>
      <c r="E20" s="10" t="inlineStr">
        <is>
          <t>Alto</t>
        </is>
      </c>
      <c r="F20" s="10" t="inlineStr">
        <is>
          <t>Pendiente</t>
        </is>
      </c>
    </row>
    <row r="21">
      <c r="A21" s="10" t="inlineStr">
        <is>
          <t>Q-20</t>
        </is>
      </c>
      <c r="B21" s="10" t="inlineStr">
        <is>
          <t>AMBIGÜEDAD. "Antes del inventario de enero" sin fecha; F1 es amplia.</t>
        </is>
      </c>
      <c r="C21" s="10" t="inlineStr">
        <is>
          <t>COR; PET</t>
        </is>
      </c>
      <c r="D21" s="10" t="inlineStr">
        <is>
          <t>¿Fecha exacta? ¿Qué mínimo imprescindible habría en esa fecha?</t>
        </is>
      </c>
      <c r="E21" s="10" t="inlineStr">
        <is>
          <t>Alto (RNF-07)</t>
        </is>
      </c>
      <c r="F21" s="10" t="inlineStr">
        <is>
          <t>Pendiente</t>
        </is>
      </c>
    </row>
    <row r="22">
      <c r="A22" s="10" t="inlineStr">
        <is>
          <t>Q-21</t>
        </is>
      </c>
      <c r="B22" s="10" t="inlineStr">
        <is>
          <t>HUECO. ¿Sustituye al programa del gestor? ¿Cuál usa?</t>
        </is>
      </c>
      <c r="C22" s="10" t="inlineStr">
        <is>
          <t>PET</t>
        </is>
      </c>
      <c r="D22" s="10" t="inlineStr">
        <is>
          <t>¿Qué programa usa y qué datos recibe? Se asume que no se sustituye.</t>
        </is>
      </c>
      <c r="E22" s="10" t="inlineStr">
        <is>
          <t>Bajo/Medio</t>
        </is>
      </c>
      <c r="F22" s="10" t="inlineStr">
        <is>
          <t>Pendiente</t>
        </is>
      </c>
    </row>
    <row r="23">
      <c r="A23" s="10" t="inlineStr">
        <is>
          <t>Q-22</t>
        </is>
      </c>
      <c r="B23" s="10" t="inlineStr">
        <is>
          <t>HUECO. El plazo lo fija el inventario, pero no hay requisito de recuento.</t>
        </is>
      </c>
      <c r="C23" s="10" t="inlineStr">
        <is>
          <t>COR</t>
        </is>
      </c>
      <c r="D23" s="10" t="inlineStr">
        <is>
          <t>¿Debe la aplicación ayudar al recuento y los ajustes anuales?</t>
        </is>
      </c>
      <c r="E23" s="10" t="inlineStr">
        <is>
          <t>Medio</t>
        </is>
      </c>
      <c r="F23" s="10" t="inlineStr">
        <is>
          <t>Pendiente</t>
        </is>
      </c>
    </row>
    <row r="24">
      <c r="A24" s="10" t="inlineStr">
        <is>
          <t>Q-23</t>
        </is>
      </c>
      <c r="B24" s="10" t="inlineStr">
        <is>
          <t>RESUELTO. Chat con IA: ahora o más adelante.</t>
        </is>
      </c>
      <c r="C24" s="10" t="inlineStr">
        <is>
          <t>PET; COR</t>
        </is>
      </c>
      <c r="D24" s="10" t="inlineStr">
        <is>
          <t>Resuelto por COR: aparcado.</t>
        </is>
      </c>
      <c r="E24" s="10" t="inlineStr">
        <is>
          <t>—</t>
        </is>
      </c>
      <c r="F24" s="10" t="inlineStr">
        <is>
          <t>Resuelto</t>
        </is>
      </c>
    </row>
    <row r="25">
      <c r="A25" s="10" t="inlineStr">
        <is>
          <t>Q-24</t>
        </is>
      </c>
      <c r="B25" s="10" t="inlineStr">
        <is>
          <t>HUECO. Migración: datos del programa antiguo y cuándo se fija el stock inicial.</t>
        </is>
      </c>
      <c r="C25" s="10" t="inlineStr">
        <is>
          <t>COR</t>
        </is>
      </c>
      <c r="D25" s="10" t="inlineStr">
        <is>
          <t>¿Qué datos hay que conservar? ¿Cuándo se congela el stock inicial?</t>
        </is>
      </c>
      <c r="E25" s="10" t="inlineStr">
        <is>
          <t>Medio</t>
        </is>
      </c>
      <c r="F25" s="10" t="inlineStr">
        <is>
          <t>Pendiente</t>
        </is>
      </c>
    </row>
    <row r="26">
      <c r="A26" s="10" t="inlineStr">
        <is>
          <t>Q-25</t>
        </is>
      </c>
      <c r="B26" s="10" t="inlineStr">
        <is>
          <t>HUECO. Cuentas individuales y precios visibles por perfil.</t>
        </is>
      </c>
      <c r="C26" s="10" t="inlineStr">
        <is>
          <t>COR; PET</t>
        </is>
      </c>
      <c r="D26" s="10" t="inlineStr">
        <is>
          <t>¿Cuenta por persona? ¿Almacén ve márgenes? ¿Mostrador ve precios de compra?</t>
        </is>
      </c>
      <c r="E26" s="10" t="inlineStr">
        <is>
          <t>Bajo/Medio (RF-36)</t>
        </is>
      </c>
      <c r="F26" s="10" t="inlineStr">
        <is>
          <t>Pendiente</t>
        </is>
      </c>
    </row>
    <row r="27">
      <c r="A27" s="10" t="inlineStr">
        <is>
          <t>Q-26</t>
        </is>
      </c>
      <c r="B27" s="10" t="inlineStr">
        <is>
          <t>INTERNA. El proyecto actual es otra aplicación.</t>
        </is>
      </c>
      <c r="C27" s="10" t="inlineStr">
        <is>
          <t>docs/analisis-diseño.md</t>
        </is>
      </c>
      <c r="D27" s="10" t="inlineStr">
        <is>
          <t>Equipo: ¿proyecto nuevo o dentro de este repositorio?</t>
        </is>
      </c>
      <c r="E27" s="10" t="inlineStr">
        <is>
          <t>Alto</t>
        </is>
      </c>
      <c r="F27" s="10" t="inlineStr">
        <is>
          <t>Pendiente</t>
        </is>
      </c>
    </row>
  </sheetData>
  <autoFilter ref="A1:F27"/>
  <dataValidations count="1">
    <dataValidation sqref="F2:F27" showDropDown="0" showInputMessage="0" showErrorMessage="0" allowBlank="0" type="list">
      <formula1>"Pendiente,Resuelto"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80" customWidth="1" min="1" max="1"/>
    <col width="70" customWidth="1" min="2" max="2"/>
  </cols>
  <sheetData>
    <row r="1">
      <c r="A1" s="9" t="inlineStr">
        <is>
          <t>Cambio</t>
        </is>
      </c>
      <c r="B1" s="9" t="inlineStr">
        <is>
          <t>Motivo</t>
        </is>
      </c>
    </row>
    <row r="2">
      <c r="A2" s="10" t="inlineStr">
        <is>
          <t>Fases separadas en F1 (acordada) y F1* (propuesta aplazable); idem F2 / F2*.</t>
        </is>
      </c>
      <c r="B2" s="10" t="inlineStr">
        <is>
          <t>Distinguir lo que el cliente acordó de lo que propone el analista y dar un colchón de calendario (R-03).</t>
        </is>
      </c>
    </row>
    <row r="3">
      <c r="A3" s="10" t="inlineStr">
        <is>
          <t>Columna Verificación en cada requisito.</t>
        </is>
      </c>
      <c r="B3" s="10" t="inlineStr">
        <is>
          <t>Hacerlos comprobables (criterio de calidad).</t>
        </is>
      </c>
    </row>
    <row r="4">
      <c r="A4" s="10" t="inlineStr">
        <is>
          <t>RF-32 (albarán manual) baja de Must a Should.</t>
        </is>
      </c>
      <c r="B4" s="10" t="inlineStr">
        <is>
          <t>La entrada de stock ya la cubre RF-07; los albaranes están en F2 según COR.</t>
        </is>
      </c>
    </row>
    <row r="5">
      <c r="A5" s="10" t="inlineStr">
        <is>
          <t>Nuevo RF-43 (importar listado de clientes).</t>
        </is>
      </c>
      <c r="B5" s="10" t="inlineStr">
        <is>
          <t>COR pide el listado de clientes en RE y no había requisito que lo cargara.</t>
        </is>
      </c>
    </row>
    <row r="6">
      <c r="A6" s="10" t="inlineStr">
        <is>
          <t>RF-42 retirado y movido a fuera de alcance.</t>
        </is>
      </c>
      <c r="B6" s="10" t="inlineStr">
        <is>
          <t>Era una pregunta, no una necesidad; Q-21 asume que no se sustituye.</t>
        </is>
      </c>
    </row>
    <row r="7">
      <c r="A7" s="10" t="inlineStr">
        <is>
          <t>RNF-05 fusionado con RF-17.</t>
        </is>
      </c>
      <c r="B7" s="10" t="inlineStr">
        <is>
          <t>Duplicado.</t>
        </is>
      </c>
    </row>
    <row r="8">
      <c r="A8" s="10" t="inlineStr">
        <is>
          <t>RNF-13 marcado como restricción de proceso.</t>
        </is>
      </c>
      <c r="B8" s="10" t="inlineStr">
        <is>
          <t>No es un requisito del sistema.</t>
        </is>
      </c>
    </row>
    <row r="9">
      <c r="A9" s="10" t="inlineStr">
        <is>
          <t>Regla de precedencia COR &gt; PET y matriz de trazabilidad simplificada por fuente.</t>
        </is>
      </c>
      <c r="B9" s="10" t="inlineStr">
        <is>
          <t>Resolver discrepancias de forma explícita; sin referencias a historias de usuario que cambien con la numeración.</t>
        </is>
      </c>
    </row>
    <row r="10">
      <c r="A10" s="10" t="inlineStr">
        <is>
          <t>Se añade valor del stock a PVP (13.400,80 €) y la lista de épicas incorpora E0 (encaje y spike).</t>
        </is>
      </c>
      <c r="B10" s="10" t="inlineStr">
        <is>
          <t>Datos verificados sobre LIS y riesgos R-01/R-02/Q-26.</t>
        </is>
      </c>
    </row>
    <row r="11">
      <c r="A11" s="10" t="inlineStr">
        <is>
          <t>Historias: HU-32 baja a Should (por RF-32); HU-45 nueva (por RF-43); fases renombradas a F1/F1*/F2/F2*; HU-17 deja de citar RNF-05.</t>
        </is>
      </c>
      <c r="B11" s="10" t="inlineStr">
        <is>
          <t>Mantener las historias alineadas con los requisitos 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2026-10-08T14:59:51Z</dcterms:created>
  <dcterms:modified xmlns:dcterms="http://purl.org/dc/terms/" xmlns:xsi="http://www.w3.org/2001/XMLSchema-instance" xsi:type="dcterms:W3CDTF">2026-10-08T14:59:51Z</dcterms:modified>
</cp:coreProperties>
</file>